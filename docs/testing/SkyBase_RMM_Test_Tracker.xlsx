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rogress" sheetId="2" state="visible" r:id="rId2"/>
    <sheet xmlns:r="http://schemas.openxmlformats.org/officeDocument/2006/relationships" name="Test Scenarios" sheetId="3" state="visible" r:id="rId3"/>
    <sheet xmlns:r="http://schemas.openxmlformats.org/officeDocument/2006/relationships" name="Issues" sheetId="4" state="visible" r:id="rId4"/>
    <sheet xmlns:r="http://schemas.openxmlformats.org/officeDocument/2006/relationships" name="Future Features" sheetId="5" state="visible" r:id="rId5"/>
  </sheets>
  <definedNames>
    <definedName name="_xlnm.Print_Titles" localSheetId="0">'Start Here'!$1:$1</definedName>
    <definedName name="_xlnm.Print_Titles" localSheetId="1">'Progress'!$1:$1</definedName>
    <definedName name="_xlnm.Print_Titles" localSheetId="2">'Test Scenarios'!$1:$1</definedName>
    <definedName name="_xlnm.Print_Titles" localSheetId="3">'Issues'!$1:$1</definedName>
    <definedName name="_xlnm.Print_Titles" localSheetId="4">'Future Features'!$1:$1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mm d, yyyy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20334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CE8"/>
      </patternFill>
    </fill>
    <fill>
      <patternFill patternType="solid">
        <fgColor rgb="00122B49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9" fontId="2" fillId="0" borderId="0" applyAlignment="1" pivotButton="0" quotePrefix="0" xfId="0">
      <alignment vertical="top" wrapText="1"/>
    </xf>
    <xf numFmtId="164" fontId="2" fillId="2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EFF6FF"/>
        </patternFill>
      </fill>
    </dxf>
    <dxf>
      <fill>
        <patternFill patternType="solid">
          <fgColor rgb="00E2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Results by stage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'Progress'!C14</f>
            </strRef>
          </tx>
          <spPr>
            <a:ln xmlns:a="http://schemas.openxmlformats.org/drawingml/2006/main">
              <a:prstDash val="solid"/>
            </a:ln>
          </spPr>
          <cat>
            <numRef>
              <f>'Progress'!$A$15:$A$24</f>
            </numRef>
          </cat>
          <val>
            <numRef>
              <f>'Progress'!$C$15:$C$24</f>
            </numRef>
          </val>
        </ser>
        <ser>
          <idx val="1"/>
          <order val="1"/>
          <tx>
            <strRef>
              <f>'Progress'!D14</f>
            </strRef>
          </tx>
          <spPr>
            <a:ln xmlns:a="http://schemas.openxmlformats.org/drawingml/2006/main">
              <a:prstDash val="solid"/>
            </a:ln>
          </spPr>
          <cat>
            <numRef>
              <f>'Progress'!$A$15:$A$24</f>
            </numRef>
          </cat>
          <val>
            <numRef>
              <f>'Progress'!$D$15:$D$24</f>
            </numRef>
          </val>
        </ser>
        <ser>
          <idx val="2"/>
          <order val="2"/>
          <tx>
            <strRef>
              <f>'Progress'!E14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'Progress'!$A$15:$A$24</f>
            </numRef>
          </cat>
          <val>
            <numRef>
              <f>'Progress'!$E$15:$E$24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82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kyBaseTests" displayName="SkyBaseTests" ref="A1:M68" headerRowCount="1">
  <autoFilter ref="A1:M68"/>
  <tableColumns count="13">
    <tableColumn id="1" name="Test ID"/>
    <tableColumn id="2" name="Stage"/>
    <tableColumn id="3" name="Scenario"/>
    <tableColumn id="4" name="Priority"/>
    <tableColumn id="5" name="Before you start"/>
    <tableColumn id="6" name="Steps to perform"/>
    <tableColumn id="7" name="Expected result"/>
    <tableColumn id="8" name="Status"/>
    <tableColumn id="9" name="Actual result / notes"/>
    <tableColumn id="10" name="Evidence link / filename"/>
    <tableColumn id="11" name="Tester"/>
    <tableColumn id="12" name="Test date (Chicago)"/>
    <tableColumn id="13" name="Issue ID"/>
  </tableColumns>
  <tableStyleInfo name="TableStyleMedium2" showRowStripes="1"/>
</table>
</file>

<file path=xl/tables/table2.xml><?xml version="1.0" encoding="utf-8"?>
<table xmlns="http://schemas.openxmlformats.org/spreadsheetml/2006/main" id="2" name="SkyBaseIssues" displayName="SkyBaseIssues" ref="A1:J31" headerRowCount="1">
  <autoFilter ref="A1:J31"/>
  <tableColumns count="10">
    <tableColumn id="1" name="Issue ID"/>
    <tableColumn id="2" name="Test ID"/>
    <tableColumn id="3" name="Priority"/>
    <tableColumn id="4" name="Problem / actual behavior"/>
    <tableColumn id="5" name="Expected behavior"/>
    <tableColumn id="6" name="Evidence link / filename"/>
    <tableColumn id="7" name="Owner"/>
    <tableColumn id="8" name="Issue status"/>
    <tableColumn id="9" name="Fix / workaround / retest notes"/>
    <tableColumn id="10" name="Reported date (Chicago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5" customWidth="1" min="2" max="2"/>
  </cols>
  <sheetData>
    <row r="1" ht="32" customHeight="1">
      <c r="A1" s="1" t="inlineStr">
        <is>
          <t>SKYBASE RMM — TEST WORKBOOK</t>
        </is>
      </c>
      <c r="B1" s="1" t="inlineStr"/>
    </row>
    <row r="2" ht="58" customHeight="1">
      <c r="A2" s="2" t="inlineStr">
        <is>
          <t>Purpose</t>
        </is>
      </c>
      <c r="B2" s="2" t="inlineStr">
        <is>
          <t>One place to record testing from setup through recovery. All results start Not started; no live results are assumed.</t>
        </is>
      </c>
    </row>
    <row r="3" ht="58" customHeight="1">
      <c r="A3" s="2" t="inlineStr">
        <is>
          <t>1. Prepare</t>
        </is>
      </c>
      <c r="B3" s="2" t="inlineStr">
        <is>
          <t>Use a spare Windows PC, QA Test company, test mailbox and harmless test files. Keep your main admin signed in while testing permissions.</t>
        </is>
      </c>
    </row>
    <row r="4" ht="58" customHeight="1">
      <c r="A4" s="2" t="inlineStr">
        <is>
          <t>2. Work in order</t>
        </is>
      </c>
      <c r="B4" s="2" t="inlineStr">
        <is>
          <t>Open Test Scenarios and follow stage 01 through 10. Use the dropdown in Status. Yellow columns are yours to update.</t>
        </is>
      </c>
    </row>
    <row r="5" ht="58" customHeight="1">
      <c r="A5" s="2" t="inlineStr">
        <is>
          <t>3. Record a result</t>
        </is>
      </c>
      <c r="B5" s="2" t="inlineStr">
        <is>
          <t>Pass = observed expected result. Fail = expected result did not happen. Blocked = prerequisite missing. Not applicable = intentionally out of scope; give a reason in Actual result.</t>
        </is>
      </c>
    </row>
    <row r="6" ht="58" customHeight="1">
      <c r="A6" s="2" t="inlineStr">
        <is>
          <t>4. Record failures</t>
        </is>
      </c>
      <c r="B6" s="2" t="inlineStr">
        <is>
          <t>Add an Issues row and its Issue ID to the test row. Include what you did, expected/actual result and a screenshot filename. Never paste passwords, cookies, API keys or private customer data.</t>
        </is>
      </c>
    </row>
    <row r="7" ht="58" customHeight="1">
      <c r="A7" s="2" t="inlineStr">
        <is>
          <t>5. Work with me</t>
        </is>
      </c>
      <c r="B7" s="2" t="inlineStr">
        <is>
          <t>Save and upload this updated Excel file here when you want review. I can read the statuses/Issues, help diagnose failures and return a revised workbook. I cannot see edits until you upload a copy.</t>
        </is>
      </c>
    </row>
    <row r="8" ht="58" customHeight="1">
      <c r="A8" s="2" t="inlineStr">
        <is>
          <t>6. Optional shared storage</t>
        </is>
      </c>
      <c r="B8" s="2" t="inlineStr">
        <is>
          <t>You can keep the master in Excel Online/OneDrive or import it to Google Sheets for your team. Keep a single master. Download/export the latest .xlsx and upload it here for my review; no live spreadsheet connector is attached.</t>
        </is>
      </c>
    </row>
    <row r="9" ht="58" customHeight="1">
      <c r="A9" s="2" t="inlineStr">
        <is>
          <t>7. Retest after fixes</t>
        </is>
      </c>
      <c r="B9" s="2" t="inlineStr">
        <is>
          <t>Keep the original failure evidence in Issues. Retest the same Test ID and update Status/date. Close the Issue only after observing the fix.</t>
        </is>
      </c>
    </row>
    <row r="10" ht="58" customHeight="1">
      <c r="A10" s="2" t="inlineStr">
        <is>
          <t>8. Release decision</t>
        </is>
      </c>
      <c r="B10" s="2" t="inlineStr">
        <is>
          <t>Do not begin customer rollout with required Critical tests failing or blocked. Not applicable needs a documented scope reason. Successful small tests are not proof of 100-device capacity.</t>
        </is>
      </c>
    </row>
    <row r="11" ht="58" customHeight="1">
      <c r="A11" s="2" t="inlineStr">
        <is>
          <t>Current scope</t>
        </is>
      </c>
      <c r="B11" s="2" t="inlineStr">
        <is>
          <t>Comet/MSP360 and antivirus choices mostly link vendor consoles; real work is verified there. Native patch install/discovery, AD writes and remote marketplace execution are future work.</t>
        </is>
      </c>
    </row>
    <row r="12" ht="58" customHeight="1">
      <c r="A12" s="2" t="inlineStr">
        <is>
          <t>Workbook version</t>
        </is>
      </c>
      <c r="B12" s="2" t="inlineStr">
        <is>
          <t>1.0 — created October 11, 2026 (America/Chicago). Keep dated copies after each test round.</t>
        </is>
      </c>
    </row>
    <row r="13" ht="58" customHeight="1">
      <c r="A13" s="2" t="inlineStr">
        <is>
          <t>RMM URL (you fill in)</t>
        </is>
      </c>
      <c r="B13" s="3" t="inlineStr"/>
    </row>
    <row r="14" ht="58" customHeight="1">
      <c r="A14" s="2" t="inlineStr">
        <is>
          <t>RMM version / Git commit (you fill in)</t>
        </is>
      </c>
      <c r="B14" s="3" t="inlineStr"/>
    </row>
    <row r="15" ht="58" customHeight="1">
      <c r="A15" s="2" t="inlineStr">
        <is>
          <t>Test owner (you fill in)</t>
        </is>
      </c>
      <c r="B15" s="3" t="inlineStr"/>
    </row>
    <row r="16" ht="58" customHeight="1">
      <c r="A16" s="2" t="inlineStr">
        <is>
          <t>QA company / PC names (you fill in)</t>
        </is>
      </c>
      <c r="B16" s="3" t="inlineStr"/>
    </row>
    <row r="17" ht="58" customHeight="1">
      <c r="A17" s="2" t="inlineStr">
        <is>
          <t>Browser / Windows version (you fill in)</t>
        </is>
      </c>
      <c r="B17" s="3" t="inlineStr"/>
    </row>
    <row r="18" ht="58" customHeight="1">
      <c r="A18" s="2" t="inlineStr">
        <is>
          <t>Testing started (Chicago date; you fill in)</t>
        </is>
      </c>
      <c r="B18" s="3" t="inlineStr"/>
    </row>
    <row r="19" ht="58" customHeight="1">
      <c r="A19" s="2" t="inlineStr">
        <is>
          <t>Master workbook location (you fill in)</t>
        </is>
      </c>
      <c r="B19" s="3" t="inlineStr"/>
    </row>
  </sheetData>
  <printOptions horizontalCentered="1"/>
  <pageMargins left="0.75" right="0.75" top="1" bottom="1" header="0.5" footer="0.5"/>
  <pageSetup orientation="landscape" paperSize="8" fitToHeight="0" fitToWidth="1"/>
  <headerFooter>
    <oddHeader/>
    <oddFooter>&amp;CSkyBase IT Solutions — Internal QA&amp;RPage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H24"/>
  <sheetViews>
    <sheetView showGridLines="0" workbookViewId="0">
      <pane xSplit="2" ySplit="14" topLeftCell="C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2" customHeight="1">
      <c r="A1" s="1" t="inlineStr">
        <is>
          <t>SKYBASE RMM — TEST PROGRESS</t>
        </is>
      </c>
      <c r="B1" s="1" t="inlineStr"/>
      <c r="C1" s="1" t="n"/>
      <c r="D1" s="1" t="n"/>
      <c r="E1" s="1" t="n"/>
      <c r="F1" s="1" t="n"/>
      <c r="G1" s="1" t="n"/>
      <c r="H1" s="1" t="n"/>
    </row>
    <row r="2">
      <c r="A2" s="4" t="inlineStr">
        <is>
          <t>Metric</t>
        </is>
      </c>
      <c r="B2" s="4" t="inlineStr">
        <is>
          <t>Count</t>
        </is>
      </c>
      <c r="C2" s="4" t="n"/>
      <c r="D2" s="4" t="n"/>
      <c r="E2" s="4" t="n"/>
      <c r="F2" s="4" t="n"/>
      <c r="G2" s="4" t="n"/>
      <c r="H2" s="4" t="n"/>
    </row>
    <row r="3">
      <c r="A3" s="2" t="inlineStr">
        <is>
          <t>Total scenarios</t>
        </is>
      </c>
      <c r="B3" s="2" t="n">
        <v>67</v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Not started</t>
        </is>
      </c>
      <c r="B4" s="2">
        <f>COUNTIF('Test Scenarios'!H2:H68,A4)</f>
        <v/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In progress</t>
        </is>
      </c>
      <c r="B5" s="2">
        <f>COUNTIF('Test Scenarios'!H2:H68,A5)</f>
        <v/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Pass</t>
        </is>
      </c>
      <c r="B6" s="2">
        <f>COUNTIF('Test Scenarios'!H2:H68,A6)</f>
        <v/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Fail</t>
        </is>
      </c>
      <c r="B7" s="2">
        <f>COUNTIF('Test Scenarios'!H2:H68,A7)</f>
        <v/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Blocked</t>
        </is>
      </c>
      <c r="B8" s="2">
        <f>COUNTIF('Test Scenarios'!H2:H68,A8)</f>
        <v/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Not applicable</t>
        </is>
      </c>
      <c r="B9" s="2">
        <f>COUNTIF('Test Scenarios'!H2:H68,A9)</f>
        <v/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Pass rate (excludes Not applicable)</t>
        </is>
      </c>
      <c r="B10" s="5">
        <f>IFERROR(COUNTIF('Test Scenarios'!H2:H68,"Pass")/(COUNTA('Test Scenarios'!A2:A68)-COUNTIF('Test Scenarios'!H2:H68,"Not applicable")),0)</f>
        <v/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Critical failures</t>
        </is>
      </c>
      <c r="B11" s="2">
        <f>COUNTIFS('Test Scenarios'!D2:D68,"Critical",'Test Scenarios'!H2:H68,"Fail")</f>
        <v/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Critical unfinished (includes Blocked)</t>
        </is>
      </c>
      <c r="B12" s="2">
        <f>COUNTIFS('Test Scenarios'!D2:D68,"Critical",'Test Scenarios'!H2:H68,"&lt;&gt;Pass",'Test Scenarios'!H2:H68,"&lt;&gt;Not applicable")</f>
        <v/>
      </c>
      <c r="C12" s="2" t="n"/>
      <c r="D12" s="2" t="n"/>
      <c r="E12" s="2" t="n"/>
      <c r="F12" s="2" t="n"/>
      <c r="G12" s="2" t="n"/>
      <c r="H12" s="2" t="n"/>
    </row>
    <row r="13" ht="45" customHeight="1">
      <c r="A13" s="2" t="inlineStr">
        <is>
          <t>Release review</t>
        </is>
      </c>
      <c r="B13" s="2" t="inlineStr">
        <is>
          <t>All required Critical tests need observed passes. Review every Not applicable reason.</t>
        </is>
      </c>
      <c r="C13" s="2" t="n"/>
      <c r="D13" s="2" t="n"/>
      <c r="E13" s="2" t="n"/>
      <c r="F13" s="2" t="n"/>
      <c r="G13" s="2" t="n"/>
      <c r="H13" s="2" t="n"/>
    </row>
    <row r="14">
      <c r="A14" s="4" t="inlineStr">
        <is>
          <t>Stage</t>
        </is>
      </c>
      <c r="B14" s="4" t="inlineStr">
        <is>
          <t>Total</t>
        </is>
      </c>
      <c r="C14" s="4" t="inlineStr">
        <is>
          <t>Pass</t>
        </is>
      </c>
      <c r="D14" s="4" t="inlineStr">
        <is>
          <t>Fail</t>
        </is>
      </c>
      <c r="E14" s="4" t="inlineStr">
        <is>
          <t>Blocked</t>
        </is>
      </c>
      <c r="F14" s="4" t="inlineStr">
        <is>
          <t>Not started</t>
        </is>
      </c>
      <c r="G14" s="4" t="inlineStr">
        <is>
          <t>In progress</t>
        </is>
      </c>
      <c r="H14" s="4" t="inlineStr">
        <is>
          <t>Not applicable</t>
        </is>
      </c>
    </row>
    <row r="15">
      <c r="A15" s="2" t="inlineStr">
        <is>
          <t>01 Setup</t>
        </is>
      </c>
      <c r="B15" s="2">
        <f>COUNTIF('Test Scenarios'!B2:B68,A15)</f>
        <v/>
      </c>
      <c r="C15" s="2">
        <f>COUNTIFS('Test Scenarios'!B2:B68,A15,'Test Scenarios'!H2:H68,C$14)</f>
        <v/>
      </c>
      <c r="D15" s="2">
        <f>COUNTIFS('Test Scenarios'!B2:B68,A15,'Test Scenarios'!H2:H68,D$14)</f>
        <v/>
      </c>
      <c r="E15" s="2">
        <f>COUNTIFS('Test Scenarios'!B2:B68,A15,'Test Scenarios'!H2:H68,E$14)</f>
        <v/>
      </c>
      <c r="F15" s="2">
        <f>COUNTIFS('Test Scenarios'!B2:B68,A15,'Test Scenarios'!H2:H68,F$14)</f>
        <v/>
      </c>
      <c r="G15" s="2">
        <f>COUNTIFS('Test Scenarios'!B2:B68,A15,'Test Scenarios'!H2:H68,G$14)</f>
        <v/>
      </c>
      <c r="H15" s="2">
        <f>COUNTIFS('Test Scenarios'!B2:B68,A15,'Test Scenarios'!H2:H68,H$14)</f>
        <v/>
      </c>
    </row>
    <row r="16">
      <c r="A16" s="2" t="inlineStr">
        <is>
          <t>02 Customers &amp; devices</t>
        </is>
      </c>
      <c r="B16" s="2">
        <f>COUNTIF('Test Scenarios'!B2:B68,A16)</f>
        <v/>
      </c>
      <c r="C16" s="2">
        <f>COUNTIFS('Test Scenarios'!B2:B68,A16,'Test Scenarios'!H2:H68,C$14)</f>
        <v/>
      </c>
      <c r="D16" s="2">
        <f>COUNTIFS('Test Scenarios'!B2:B68,A16,'Test Scenarios'!H2:H68,D$14)</f>
        <v/>
      </c>
      <c r="E16" s="2">
        <f>COUNTIFS('Test Scenarios'!B2:B68,A16,'Test Scenarios'!H2:H68,E$14)</f>
        <v/>
      </c>
      <c r="F16" s="2">
        <f>COUNTIFS('Test Scenarios'!B2:B68,A16,'Test Scenarios'!H2:H68,F$14)</f>
        <v/>
      </c>
      <c r="G16" s="2">
        <f>COUNTIFS('Test Scenarios'!B2:B68,A16,'Test Scenarios'!H2:H68,G$14)</f>
        <v/>
      </c>
      <c r="H16" s="2">
        <f>COUNTIFS('Test Scenarios'!B2:B68,A16,'Test Scenarios'!H2:H68,H$14)</f>
        <v/>
      </c>
    </row>
    <row r="17">
      <c r="A17" s="2" t="inlineStr">
        <is>
          <t>03 User access</t>
        </is>
      </c>
      <c r="B17" s="2">
        <f>COUNTIF('Test Scenarios'!B2:B68,A17)</f>
        <v/>
      </c>
      <c r="C17" s="2">
        <f>COUNTIFS('Test Scenarios'!B2:B68,A17,'Test Scenarios'!H2:H68,C$14)</f>
        <v/>
      </c>
      <c r="D17" s="2">
        <f>COUNTIFS('Test Scenarios'!B2:B68,A17,'Test Scenarios'!H2:H68,D$14)</f>
        <v/>
      </c>
      <c r="E17" s="2">
        <f>COUNTIFS('Test Scenarios'!B2:B68,A17,'Test Scenarios'!H2:H68,E$14)</f>
        <v/>
      </c>
      <c r="F17" s="2">
        <f>COUNTIFS('Test Scenarios'!B2:B68,A17,'Test Scenarios'!H2:H68,F$14)</f>
        <v/>
      </c>
      <c r="G17" s="2">
        <f>COUNTIFS('Test Scenarios'!B2:B68,A17,'Test Scenarios'!H2:H68,G$14)</f>
        <v/>
      </c>
      <c r="H17" s="2">
        <f>COUNTIFS('Test Scenarios'!B2:B68,A17,'Test Scenarios'!H2:H68,H$14)</f>
        <v/>
      </c>
    </row>
    <row r="18">
      <c r="A18" s="2" t="inlineStr">
        <is>
          <t>04 Remote &amp; scripts</t>
        </is>
      </c>
      <c r="B18" s="2">
        <f>COUNTIF('Test Scenarios'!B2:B68,A18)</f>
        <v/>
      </c>
      <c r="C18" s="2">
        <f>COUNTIFS('Test Scenarios'!B2:B68,A18,'Test Scenarios'!H2:H68,C$14)</f>
        <v/>
      </c>
      <c r="D18" s="2">
        <f>COUNTIFS('Test Scenarios'!B2:B68,A18,'Test Scenarios'!H2:H68,D$14)</f>
        <v/>
      </c>
      <c r="E18" s="2">
        <f>COUNTIFS('Test Scenarios'!B2:B68,A18,'Test Scenarios'!H2:H68,E$14)</f>
        <v/>
      </c>
      <c r="F18" s="2">
        <f>COUNTIFS('Test Scenarios'!B2:B68,A18,'Test Scenarios'!H2:H68,F$14)</f>
        <v/>
      </c>
      <c r="G18" s="2">
        <f>COUNTIFS('Test Scenarios'!B2:B68,A18,'Test Scenarios'!H2:H68,G$14)</f>
        <v/>
      </c>
      <c r="H18" s="2">
        <f>COUNTIFS('Test Scenarios'!B2:B68,A18,'Test Scenarios'!H2:H68,H$14)</f>
        <v/>
      </c>
    </row>
    <row r="19">
      <c r="A19" s="2" t="inlineStr">
        <is>
          <t>05 Backup &amp; antivirus</t>
        </is>
      </c>
      <c r="B19" s="2">
        <f>COUNTIF('Test Scenarios'!B2:B68,A19)</f>
        <v/>
      </c>
      <c r="C19" s="2">
        <f>COUNTIFS('Test Scenarios'!B2:B68,A19,'Test Scenarios'!H2:H68,C$14)</f>
        <v/>
      </c>
      <c r="D19" s="2">
        <f>COUNTIFS('Test Scenarios'!B2:B68,A19,'Test Scenarios'!H2:H68,D$14)</f>
        <v/>
      </c>
      <c r="E19" s="2">
        <f>COUNTIFS('Test Scenarios'!B2:B68,A19,'Test Scenarios'!H2:H68,E$14)</f>
        <v/>
      </c>
      <c r="F19" s="2">
        <f>COUNTIFS('Test Scenarios'!B2:B68,A19,'Test Scenarios'!H2:H68,F$14)</f>
        <v/>
      </c>
      <c r="G19" s="2">
        <f>COUNTIFS('Test Scenarios'!B2:B68,A19,'Test Scenarios'!H2:H68,G$14)</f>
        <v/>
      </c>
      <c r="H19" s="2">
        <f>COUNTIFS('Test Scenarios'!B2:B68,A19,'Test Scenarios'!H2:H68,H$14)</f>
        <v/>
      </c>
    </row>
    <row r="20">
      <c r="A20" s="2" t="inlineStr">
        <is>
          <t>06 Patch planning</t>
        </is>
      </c>
      <c r="B20" s="2">
        <f>COUNTIF('Test Scenarios'!B2:B68,A20)</f>
        <v/>
      </c>
      <c r="C20" s="2">
        <f>COUNTIFS('Test Scenarios'!B2:B68,A20,'Test Scenarios'!H2:H68,C$14)</f>
        <v/>
      </c>
      <c r="D20" s="2">
        <f>COUNTIFS('Test Scenarios'!B2:B68,A20,'Test Scenarios'!H2:H68,D$14)</f>
        <v/>
      </c>
      <c r="E20" s="2">
        <f>COUNTIFS('Test Scenarios'!B2:B68,A20,'Test Scenarios'!H2:H68,E$14)</f>
        <v/>
      </c>
      <c r="F20" s="2">
        <f>COUNTIFS('Test Scenarios'!B2:B68,A20,'Test Scenarios'!H2:H68,F$14)</f>
        <v/>
      </c>
      <c r="G20" s="2">
        <f>COUNTIFS('Test Scenarios'!B2:B68,A20,'Test Scenarios'!H2:H68,G$14)</f>
        <v/>
      </c>
      <c r="H20" s="2">
        <f>COUNTIFS('Test Scenarios'!B2:B68,A20,'Test Scenarios'!H2:H68,H$14)</f>
        <v/>
      </c>
    </row>
    <row r="21">
      <c r="A21" s="2" t="inlineStr">
        <is>
          <t>07 Network &amp; AD</t>
        </is>
      </c>
      <c r="B21" s="2">
        <f>COUNTIF('Test Scenarios'!B2:B68,A21)</f>
        <v/>
      </c>
      <c r="C21" s="2">
        <f>COUNTIFS('Test Scenarios'!B2:B68,A21,'Test Scenarios'!H2:H68,C$14)</f>
        <v/>
      </c>
      <c r="D21" s="2">
        <f>COUNTIFS('Test Scenarios'!B2:B68,A21,'Test Scenarios'!H2:H68,D$14)</f>
        <v/>
      </c>
      <c r="E21" s="2">
        <f>COUNTIFS('Test Scenarios'!B2:B68,A21,'Test Scenarios'!H2:H68,E$14)</f>
        <v/>
      </c>
      <c r="F21" s="2">
        <f>COUNTIFS('Test Scenarios'!B2:B68,A21,'Test Scenarios'!H2:H68,F$14)</f>
        <v/>
      </c>
      <c r="G21" s="2">
        <f>COUNTIFS('Test Scenarios'!B2:B68,A21,'Test Scenarios'!H2:H68,G$14)</f>
        <v/>
      </c>
      <c r="H21" s="2">
        <f>COUNTIFS('Test Scenarios'!B2:B68,A21,'Test Scenarios'!H2:H68,H$14)</f>
        <v/>
      </c>
    </row>
    <row r="22">
      <c r="A22" s="2" t="inlineStr">
        <is>
          <t>08 Tickets &amp; AI</t>
        </is>
      </c>
      <c r="B22" s="2">
        <f>COUNTIF('Test Scenarios'!B2:B68,A22)</f>
        <v/>
      </c>
      <c r="C22" s="2">
        <f>COUNTIFS('Test Scenarios'!B2:B68,A22,'Test Scenarios'!H2:H68,C$14)</f>
        <v/>
      </c>
      <c r="D22" s="2">
        <f>COUNTIFS('Test Scenarios'!B2:B68,A22,'Test Scenarios'!H2:H68,D$14)</f>
        <v/>
      </c>
      <c r="E22" s="2">
        <f>COUNTIFS('Test Scenarios'!B2:B68,A22,'Test Scenarios'!H2:H68,E$14)</f>
        <v/>
      </c>
      <c r="F22" s="2">
        <f>COUNTIFS('Test Scenarios'!B2:B68,A22,'Test Scenarios'!H2:H68,F$14)</f>
        <v/>
      </c>
      <c r="G22" s="2">
        <f>COUNTIFS('Test Scenarios'!B2:B68,A22,'Test Scenarios'!H2:H68,G$14)</f>
        <v/>
      </c>
      <c r="H22" s="2">
        <f>COUNTIFS('Test Scenarios'!B2:B68,A22,'Test Scenarios'!H2:H68,H$14)</f>
        <v/>
      </c>
    </row>
    <row r="23">
      <c r="A23" s="2" t="inlineStr">
        <is>
          <t>09 Monitoring</t>
        </is>
      </c>
      <c r="B23" s="2">
        <f>COUNTIF('Test Scenarios'!B2:B68,A23)</f>
        <v/>
      </c>
      <c r="C23" s="2">
        <f>COUNTIFS('Test Scenarios'!B2:B68,A23,'Test Scenarios'!H2:H68,C$14)</f>
        <v/>
      </c>
      <c r="D23" s="2">
        <f>COUNTIFS('Test Scenarios'!B2:B68,A23,'Test Scenarios'!H2:H68,D$14)</f>
        <v/>
      </c>
      <c r="E23" s="2">
        <f>COUNTIFS('Test Scenarios'!B2:B68,A23,'Test Scenarios'!H2:H68,E$14)</f>
        <v/>
      </c>
      <c r="F23" s="2">
        <f>COUNTIFS('Test Scenarios'!B2:B68,A23,'Test Scenarios'!H2:H68,F$14)</f>
        <v/>
      </c>
      <c r="G23" s="2">
        <f>COUNTIFS('Test Scenarios'!B2:B68,A23,'Test Scenarios'!H2:H68,G$14)</f>
        <v/>
      </c>
      <c r="H23" s="2">
        <f>COUNTIFS('Test Scenarios'!B2:B68,A23,'Test Scenarios'!H2:H68,H$14)</f>
        <v/>
      </c>
    </row>
    <row r="24">
      <c r="A24" s="2" t="inlineStr">
        <is>
          <t>10 Reliability &amp; cleanup</t>
        </is>
      </c>
      <c r="B24" s="2">
        <f>COUNTIF('Test Scenarios'!B2:B68,A24)</f>
        <v/>
      </c>
      <c r="C24" s="2">
        <f>COUNTIFS('Test Scenarios'!B2:B68,A24,'Test Scenarios'!H2:H68,C$14)</f>
        <v/>
      </c>
      <c r="D24" s="2">
        <f>COUNTIFS('Test Scenarios'!B2:B68,A24,'Test Scenarios'!H2:H68,D$14)</f>
        <v/>
      </c>
      <c r="E24" s="2">
        <f>COUNTIFS('Test Scenarios'!B2:B68,A24,'Test Scenarios'!H2:H68,E$14)</f>
        <v/>
      </c>
      <c r="F24" s="2">
        <f>COUNTIFS('Test Scenarios'!B2:B68,A24,'Test Scenarios'!H2:H68,F$14)</f>
        <v/>
      </c>
      <c r="G24" s="2">
        <f>COUNTIFS('Test Scenarios'!B2:B68,A24,'Test Scenarios'!H2:H68,G$14)</f>
        <v/>
      </c>
      <c r="H24" s="2">
        <f>COUNTIFS('Test Scenarios'!B2:B68,A24,'Test Scenarios'!H2:H68,H$14)</f>
        <v/>
      </c>
    </row>
  </sheetData>
  <printOptions horizontalCentered="1"/>
  <pageMargins left="0.75" right="0.75" top="1" bottom="1" header="0.5" footer="0.5"/>
  <pageSetup orientation="landscape" paperSize="8" fitToHeight="0" fitToWidth="1"/>
  <headerFooter>
    <oddHeader/>
    <oddFooter>&amp;CSkyBase IT Solutions — Internal QA&amp;RPage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M68"/>
  <sheetViews>
    <sheetView showGridLines="0" zoomScale="8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38" customWidth="1" min="3" max="3"/>
    <col width="12" customWidth="1" min="4" max="4"/>
    <col width="44" customWidth="1" min="5" max="5"/>
    <col width="66" customWidth="1" min="6" max="6"/>
    <col width="66" customWidth="1" min="7" max="7"/>
    <col width="20" customWidth="1" min="8" max="8"/>
    <col width="50" customWidth="1" min="9" max="9"/>
    <col width="35" customWidth="1" min="10" max="10"/>
    <col width="20" customWidth="1" min="11" max="11"/>
    <col width="25" customWidth="1" min="12" max="12"/>
    <col width="15" customWidth="1" min="13" max="13"/>
  </cols>
  <sheetData>
    <row r="1" ht="32" customHeight="1">
      <c r="A1" s="1" t="inlineStr">
        <is>
          <t>Test ID</t>
        </is>
      </c>
      <c r="B1" s="1" t="inlineStr">
        <is>
          <t>Stage</t>
        </is>
      </c>
      <c r="C1" s="1" t="inlineStr">
        <is>
          <t>Scenario</t>
        </is>
      </c>
      <c r="D1" s="1" t="inlineStr">
        <is>
          <t>Priority</t>
        </is>
      </c>
      <c r="E1" s="1" t="inlineStr">
        <is>
          <t>Before you start</t>
        </is>
      </c>
      <c r="F1" s="1" t="inlineStr">
        <is>
          <t>Steps to perform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Actual result / notes</t>
        </is>
      </c>
      <c r="J1" s="1" t="inlineStr">
        <is>
          <t>Evidence link / filename</t>
        </is>
      </c>
      <c r="K1" s="1" t="inlineStr">
        <is>
          <t>Tester</t>
        </is>
      </c>
      <c r="L1" s="1" t="inlineStr">
        <is>
          <t>Test date (Chicago)</t>
        </is>
      </c>
      <c r="M1" s="1" t="inlineStr">
        <is>
          <t>Issue ID</t>
        </is>
      </c>
    </row>
    <row r="2" ht="110" customHeight="1">
      <c r="A2" s="2" t="inlineStr">
        <is>
          <t>T001</t>
        </is>
      </c>
      <c r="B2" s="2" t="inlineStr">
        <is>
          <t>01 Setup</t>
        </is>
      </c>
      <c r="C2" s="2" t="inlineStr">
        <is>
          <t>Back up the RMM before testing</t>
        </is>
      </c>
      <c r="D2" s="2" t="inlineStr">
        <is>
          <t>Critical</t>
        </is>
      </c>
      <c r="E2" s="2" t="inlineStr">
        <is>
          <t>Server administrator; current deployment working</t>
        </is>
      </c>
      <c r="F2" s="2" t="inlineStr">
        <is>
          <t>1. Run scripts/backup-database.py using the documented deployment procedure.
2. Record the backup location and date.
3. Confirm a non-empty backup exists.</t>
        </is>
      </c>
      <c r="G2" s="2" t="inlineStr">
        <is>
          <t>Database backup exists. Keep it outside the active application data folder as well.</t>
        </is>
      </c>
      <c r="H2" s="3" t="inlineStr">
        <is>
          <t>Not started</t>
        </is>
      </c>
      <c r="I2" s="3" t="inlineStr"/>
      <c r="J2" s="3" t="inlineStr"/>
      <c r="K2" s="3" t="inlineStr"/>
      <c r="L2" s="6" t="inlineStr"/>
      <c r="M2" s="3" t="inlineStr"/>
    </row>
    <row r="3" ht="110" customHeight="1">
      <c r="A3" s="2" t="inlineStr">
        <is>
          <t>T002</t>
        </is>
      </c>
      <c r="B3" s="2" t="inlineStr">
        <is>
          <t>01 Setup</t>
        </is>
      </c>
      <c r="C3" s="2" t="inlineStr">
        <is>
          <t>Prepare the test environment</t>
        </is>
      </c>
      <c r="D3" s="2" t="inlineStr">
        <is>
          <t>High</t>
        </is>
      </c>
      <c r="E3" s="2" t="inlineStr">
        <is>
          <t>One spare Windows PC; administrator login</t>
        </is>
      </c>
      <c r="F3" s="2" t="inlineStr">
        <is>
          <t>1. Use a spare PC or disposable VM.
2. Create a QA Test customer/company and group.
3. Record browser, RMM version/commit and PC name in Start Here.
4. Use test mail and files.</t>
        </is>
      </c>
      <c r="G3" s="2" t="inlineStr">
        <is>
          <t>Tests use a separate QA scope; no production customer records, backups or devices are deleted.</t>
        </is>
      </c>
      <c r="H3" s="3" t="inlineStr">
        <is>
          <t>Not started</t>
        </is>
      </c>
      <c r="I3" s="3" t="inlineStr"/>
      <c r="J3" s="3" t="inlineStr"/>
      <c r="K3" s="3" t="inlineStr"/>
      <c r="L3" s="6" t="inlineStr"/>
      <c r="M3" s="3" t="inlineStr"/>
    </row>
    <row r="4" ht="110" customHeight="1">
      <c r="A4" s="2" t="inlineStr">
        <is>
          <t>T003</t>
        </is>
      </c>
      <c r="B4" s="2" t="inlineStr">
        <is>
          <t>01 Setup</t>
        </is>
      </c>
      <c r="C4" s="2" t="inlineStr">
        <is>
          <t>Administrator sign-in and sign-out</t>
        </is>
      </c>
      <c r="D4" s="2" t="inlineStr">
        <is>
          <t>Critical</t>
        </is>
      </c>
      <c r="E4" s="2" t="inlineStr">
        <is>
          <t>Existing administrator credentials</t>
        </is>
      </c>
      <c r="F4" s="2" t="inlineStr">
        <is>
          <t>1. Sign in.
2. Confirm Dashboard loads.
3. Sign out.
4. Try opening the previous page.
5. Sign back in.</t>
        </is>
      </c>
      <c r="G4" s="2" t="inlineStr">
        <is>
          <t>Valid credentials work. Signed-out API requests require sign-in. Do not record passwords.</t>
        </is>
      </c>
      <c r="H4" s="3" t="inlineStr">
        <is>
          <t>Not started</t>
        </is>
      </c>
      <c r="I4" s="3" t="inlineStr"/>
      <c r="J4" s="3" t="inlineStr"/>
      <c r="K4" s="3" t="inlineStr"/>
      <c r="L4" s="6" t="inlineStr"/>
      <c r="M4" s="3" t="inlineStr"/>
    </row>
    <row r="5" ht="110" customHeight="1">
      <c r="A5" s="2" t="inlineStr">
        <is>
          <t>T004</t>
        </is>
      </c>
      <c r="B5" s="2" t="inlineStr">
        <is>
          <t>01 Setup</t>
        </is>
      </c>
      <c r="C5" s="2" t="inlineStr">
        <is>
          <t>Refresh and navigation persistence</t>
        </is>
      </c>
      <c r="D5" s="2" t="inlineStr">
        <is>
          <t>High</t>
        </is>
      </c>
      <c r="E5" s="2" t="inlineStr">
        <is>
          <t>Signed in</t>
        </is>
      </c>
      <c r="F5" s="2" t="inlineStr">
        <is>
          <t>1. Open Backups and refresh.
2. Repeat on Tickets and User Management.
3. Use browser Back and Forward.</t>
        </is>
      </c>
      <c r="G5" s="2" t="inlineStr">
        <is>
          <t>Refresh retains an allowed page. Back/Forward changes pages correctly.</t>
        </is>
      </c>
      <c r="H5" s="3" t="inlineStr">
        <is>
          <t>Not started</t>
        </is>
      </c>
      <c r="I5" s="3" t="inlineStr"/>
      <c r="J5" s="3" t="inlineStr"/>
      <c r="K5" s="3" t="inlineStr"/>
      <c r="L5" s="6" t="inlineStr"/>
      <c r="M5" s="3" t="inlineStr"/>
    </row>
    <row r="6" ht="110" customHeight="1">
      <c r="A6" s="2" t="inlineStr">
        <is>
          <t>T005</t>
        </is>
      </c>
      <c r="B6" s="2" t="inlineStr">
        <is>
          <t>01 Setup</t>
        </is>
      </c>
      <c r="C6" s="2" t="inlineStr">
        <is>
          <t>Layout and small-screen usability</t>
        </is>
      </c>
      <c r="D6" s="2" t="inlineStr">
        <is>
          <t>Normal</t>
        </is>
      </c>
      <c r="E6" s="2" t="inlineStr">
        <is>
          <t>Desktop browser and phone or narrow browser</t>
        </is>
      </c>
      <c r="F6" s="2" t="inlineStr">
        <is>
          <t>1. Open Dashboard, Computers, Tickets and User Management.
2. Test at phone width.
3. Open an Add/Edit dialog.
4. Confirm fields and buttons remain reachable.</t>
        </is>
      </c>
      <c r="G6" s="2" t="inlineStr">
        <is>
          <t>Cards and dialogs are usable. Tables may scroll inside their container; page controls remain accessible.</t>
        </is>
      </c>
      <c r="H6" s="3" t="inlineStr">
        <is>
          <t>Not started</t>
        </is>
      </c>
      <c r="I6" s="3" t="inlineStr"/>
      <c r="J6" s="3" t="inlineStr"/>
      <c r="K6" s="3" t="inlineStr"/>
      <c r="L6" s="6" t="inlineStr"/>
      <c r="M6" s="3" t="inlineStr"/>
    </row>
    <row r="7" ht="110" customHeight="1">
      <c r="A7" s="2" t="inlineStr">
        <is>
          <t>T006</t>
        </is>
      </c>
      <c r="B7" s="2" t="inlineStr">
        <is>
          <t>02 Customers &amp; devices</t>
        </is>
      </c>
      <c r="C7" s="2" t="inlineStr">
        <is>
          <t>Create customer and company</t>
        </is>
      </c>
      <c r="D7" s="2" t="inlineStr">
        <is>
          <t>Critical</t>
        </is>
      </c>
      <c r="E7" s="2" t="inlineStr">
        <is>
          <t>Administrator; QA scope</t>
        </is>
      </c>
      <c r="F7" s="2" t="inlineStr">
        <is>
          <t>1. Add customer QA Test with a test contact.
2. Add QA Test Company linked to that customer.
3. Refresh.</t>
        </is>
      </c>
      <c r="G7" s="2" t="inlineStr">
        <is>
          <t>Correct customer/company link and contact details persist.</t>
        </is>
      </c>
      <c r="H7" s="3" t="inlineStr">
        <is>
          <t>Not started</t>
        </is>
      </c>
      <c r="I7" s="3" t="inlineStr"/>
      <c r="J7" s="3" t="inlineStr"/>
      <c r="K7" s="3" t="inlineStr"/>
      <c r="L7" s="6" t="inlineStr"/>
      <c r="M7" s="3" t="inlineStr"/>
    </row>
    <row r="8" ht="110" customHeight="1">
      <c r="A8" s="2" t="inlineStr">
        <is>
          <t>T007</t>
        </is>
      </c>
      <c r="B8" s="2" t="inlineStr">
        <is>
          <t>02 Customers &amp; devices</t>
        </is>
      </c>
      <c r="C8" s="2" t="inlineStr">
        <is>
          <t>Edit contact information</t>
        </is>
      </c>
      <c r="D8" s="2" t="inlineStr">
        <is>
          <t>Normal</t>
        </is>
      </c>
      <c r="E8" s="2" t="inlineStr">
        <is>
          <t>QA customer/company</t>
        </is>
      </c>
      <c r="F8" s="2" t="inlineStr">
        <is>
          <t>1. Edit test contact, email and phone.
2. Save and refresh.</t>
        </is>
      </c>
      <c r="G8" s="2" t="inlineStr">
        <is>
          <t>Updated values persist without creating duplicate records.</t>
        </is>
      </c>
      <c r="H8" s="3" t="inlineStr">
        <is>
          <t>Not started</t>
        </is>
      </c>
      <c r="I8" s="3" t="inlineStr"/>
      <c r="J8" s="3" t="inlineStr"/>
      <c r="K8" s="3" t="inlineStr"/>
      <c r="L8" s="6" t="inlineStr"/>
      <c r="M8" s="3" t="inlineStr"/>
    </row>
    <row r="9" ht="110" customHeight="1">
      <c r="A9" s="2" t="inlineStr">
        <is>
          <t>T008</t>
        </is>
      </c>
      <c r="B9" s="2" t="inlineStr">
        <is>
          <t>02 Customers &amp; devices</t>
        </is>
      </c>
      <c r="C9" s="2" t="inlineStr">
        <is>
          <t>Create location and device group</t>
        </is>
      </c>
      <c r="D9" s="2" t="inlineStr">
        <is>
          <t>High</t>
        </is>
      </c>
      <c r="E9" s="2" t="inlineStr">
        <is>
          <t>QA company</t>
        </is>
      </c>
      <c r="F9" s="2" t="inlineStr">
        <is>
          <t>1. Add QA Lab location.
2. Add QA Windows group within it.
3. Rename the test group.
4. Refresh.</t>
        </is>
      </c>
      <c r="G9" s="2" t="inlineStr">
        <is>
          <t>Location/group belong to the correct company; rename persists.</t>
        </is>
      </c>
      <c r="H9" s="3" t="inlineStr">
        <is>
          <t>Not started</t>
        </is>
      </c>
      <c r="I9" s="3" t="inlineStr"/>
      <c r="J9" s="3" t="inlineStr"/>
      <c r="K9" s="3" t="inlineStr"/>
      <c r="L9" s="6" t="inlineStr"/>
      <c r="M9" s="3" t="inlineStr"/>
    </row>
    <row r="10" ht="110" customHeight="1">
      <c r="A10" s="2" t="inlineStr">
        <is>
          <t>T009</t>
        </is>
      </c>
      <c r="B10" s="2" t="inlineStr">
        <is>
          <t>02 Customers &amp; devices</t>
        </is>
      </c>
      <c r="C10" s="2" t="inlineStr">
        <is>
          <t>Enroll a Windows computer</t>
        </is>
      </c>
      <c r="D10" s="2" t="inlineStr">
        <is>
          <t>Critical</t>
        </is>
      </c>
      <c r="E10" s="2" t="inlineStr">
        <is>
          <t>Spare Windows PC; QA group; trusted installer source</t>
        </is>
      </c>
      <c r="F10" s="2" t="inlineStr">
        <is>
          <t>1. Add Device and select QA company/location/group.
2. Generate enrollment link.
3. Install agent on the spare PC.
4. Wait for synchronization.</t>
        </is>
      </c>
      <c r="G10" s="2" t="inlineStr">
        <is>
          <t>Computer appears under the selected company/location/group. Agent connects; existing customer devices are unaffected.</t>
        </is>
      </c>
      <c r="H10" s="3" t="inlineStr">
        <is>
          <t>Not started</t>
        </is>
      </c>
      <c r="I10" s="3" t="inlineStr"/>
      <c r="J10" s="3" t="inlineStr"/>
      <c r="K10" s="3" t="inlineStr"/>
      <c r="L10" s="6" t="inlineStr"/>
      <c r="M10" s="3" t="inlineStr"/>
    </row>
    <row r="11" ht="110" customHeight="1">
      <c r="A11" s="2" t="inlineStr">
        <is>
          <t>T010</t>
        </is>
      </c>
      <c r="B11" s="2" t="inlineStr">
        <is>
          <t>02 Customers &amp; devices</t>
        </is>
      </c>
      <c r="C11" s="2" t="inlineStr">
        <is>
          <t>Online and offline device state</t>
        </is>
      </c>
      <c r="D11" s="2" t="inlineStr">
        <is>
          <t>High</t>
        </is>
      </c>
      <c r="E11" s="2" t="inlineStr">
        <is>
          <t>QA PC enrolled</t>
        </is>
      </c>
      <c r="F11" s="2" t="inlineStr">
        <is>
          <t>1. Confirm Online.
2. Shut down/disconnect only the QA PC.
3. Wait at least one 30-second inventory refresh.
4. Reconnect it.</t>
        </is>
      </c>
      <c r="G11" s="2" t="inlineStr">
        <is>
          <t>State changes Offline then Online after fresh synchronization. Device record remains visible.</t>
        </is>
      </c>
      <c r="H11" s="3" t="inlineStr">
        <is>
          <t>Not started</t>
        </is>
      </c>
      <c r="I11" s="3" t="inlineStr"/>
      <c r="J11" s="3" t="inlineStr"/>
      <c r="K11" s="3" t="inlineStr"/>
      <c r="L11" s="6" t="inlineStr"/>
      <c r="M11" s="3" t="inlineStr"/>
    </row>
    <row r="12" ht="110" customHeight="1">
      <c r="A12" s="2" t="inlineStr">
        <is>
          <t>T011</t>
        </is>
      </c>
      <c r="B12" s="2" t="inlineStr">
        <is>
          <t>02 Customers &amp; devices</t>
        </is>
      </c>
      <c r="C12" s="2" t="inlineStr">
        <is>
          <t>Live telemetry readings</t>
        </is>
      </c>
      <c r="D12" s="2" t="inlineStr">
        <is>
          <t>High</t>
        </is>
      </c>
      <c r="E12" s="2" t="inlineStr">
        <is>
          <t>QA Windows PC online</t>
        </is>
      </c>
      <c r="F12" s="2" t="inlineStr">
        <is>
          <t>1. Open Computers.
2. Wait for CPU, memory and system-disk readings.
3. Compare disk/memory with Windows tools at approximately the same time.</t>
        </is>
      </c>
      <c r="G12" s="2" t="inlineStr">
        <is>
          <t>Measured values and reading time appear. Transient CPU variation is normal. Unknown readings are not shown as healthy zeroes.</t>
        </is>
      </c>
      <c r="H12" s="3" t="inlineStr">
        <is>
          <t>Not started</t>
        </is>
      </c>
      <c r="I12" s="3" t="inlineStr"/>
      <c r="J12" s="3" t="inlineStr"/>
      <c r="K12" s="3" t="inlineStr"/>
      <c r="L12" s="6" t="inlineStr"/>
      <c r="M12" s="3" t="inlineStr"/>
    </row>
    <row r="13" ht="110" customHeight="1">
      <c r="A13" s="2" t="inlineStr">
        <is>
          <t>T012</t>
        </is>
      </c>
      <c r="B13" s="2" t="inlineStr">
        <is>
          <t>02 Customers &amp; devices</t>
        </is>
      </c>
      <c r="C13" s="2" t="inlineStr">
        <is>
          <t>Edit computer display name</t>
        </is>
      </c>
      <c r="D13" s="2" t="inlineStr">
        <is>
          <t>Normal</t>
        </is>
      </c>
      <c r="E13" s="2" t="inlineStr">
        <is>
          <t>QA PC</t>
        </is>
      </c>
      <c r="F13" s="2" t="inlineStr">
        <is>
          <t>1. Rename its RMM display name.
2. Refresh the page.</t>
        </is>
      </c>
      <c r="G13" s="2" t="inlineStr">
        <is>
          <t>Name persists and the computer remains linked to its company/group.</t>
        </is>
      </c>
      <c r="H13" s="3" t="inlineStr">
        <is>
          <t>Not started</t>
        </is>
      </c>
      <c r="I13" s="3" t="inlineStr"/>
      <c r="J13" s="3" t="inlineStr"/>
      <c r="K13" s="3" t="inlineStr"/>
      <c r="L13" s="6" t="inlineStr"/>
      <c r="M13" s="3" t="inlineStr"/>
    </row>
    <row r="14" ht="110" customHeight="1">
      <c r="A14" s="2" t="inlineStr">
        <is>
          <t>T013</t>
        </is>
      </c>
      <c r="B14" s="2" t="inlineStr">
        <is>
          <t>02 Customers &amp; devices</t>
        </is>
      </c>
      <c r="C14" s="2" t="inlineStr">
        <is>
          <t>Search and company filters</t>
        </is>
      </c>
      <c r="D14" s="2" t="inlineStr">
        <is>
          <t>Normal</t>
        </is>
      </c>
      <c r="E14" s="2" t="inlineStr">
        <is>
          <t>QA and existing inventory</t>
        </is>
      </c>
      <c r="F14" s="2" t="inlineStr">
        <is>
          <t>1. Search for QA PC.
2. Select QA company.
3. Clear filters.</t>
        </is>
      </c>
      <c r="G14" s="2" t="inlineStr">
        <is>
          <t>Matching records appear; filters clear without losing records.</t>
        </is>
      </c>
      <c r="H14" s="3" t="inlineStr">
        <is>
          <t>Not started</t>
        </is>
      </c>
      <c r="I14" s="3" t="inlineStr"/>
      <c r="J14" s="3" t="inlineStr"/>
      <c r="K14" s="3" t="inlineStr"/>
      <c r="L14" s="6" t="inlineStr"/>
      <c r="M14" s="3" t="inlineStr"/>
    </row>
    <row r="15" ht="110" customHeight="1">
      <c r="A15" s="2" t="inlineStr">
        <is>
          <t>T014</t>
        </is>
      </c>
      <c r="B15" s="2" t="inlineStr">
        <is>
          <t>02 Customers &amp; devices</t>
        </is>
      </c>
      <c r="C15" s="2" t="inlineStr">
        <is>
          <t>Deletion protections</t>
        </is>
      </c>
      <c r="D15" s="2" t="inlineStr">
        <is>
          <t>High</t>
        </is>
      </c>
      <c r="E15" s="2" t="inlineStr">
        <is>
          <t>QA company/group contains the QA PC</t>
        </is>
      </c>
      <c r="F15" s="2" t="inlineStr">
        <is>
          <t>1. Attempt to delete the non-empty QA company/group.
2. Cancel where appropriate.
3. Create and delete a separate empty temporary group/customer.</t>
        </is>
      </c>
      <c r="G15" s="2" t="inlineStr">
        <is>
          <t>Non-empty records are protected. Eligible empty temporary records can be removed. MeshCentral groups are not silently deleted.</t>
        </is>
      </c>
      <c r="H15" s="3" t="inlineStr">
        <is>
          <t>Not started</t>
        </is>
      </c>
      <c r="I15" s="3" t="inlineStr"/>
      <c r="J15" s="3" t="inlineStr"/>
      <c r="K15" s="3" t="inlineStr"/>
      <c r="L15" s="6" t="inlineStr"/>
      <c r="M15" s="3" t="inlineStr"/>
    </row>
    <row r="16" ht="110" customHeight="1">
      <c r="A16" s="2" t="inlineStr">
        <is>
          <t>T015</t>
        </is>
      </c>
      <c r="B16" s="2" t="inlineStr">
        <is>
          <t>03 User access</t>
        </is>
      </c>
      <c r="C16" s="2" t="inlineStr">
        <is>
          <t>Create a restricted employee</t>
        </is>
      </c>
      <c r="D16" s="2" t="inlineStr">
        <is>
          <t>Critical</t>
        </is>
      </c>
      <c r="E16" s="2" t="inlineStr">
        <is>
          <t>Administrator; disposable employee login</t>
        </is>
      </c>
      <c r="F16" s="2" t="inlineStr">
        <is>
          <t>1. Add QA Backup Tech with a unique initial password.
2. Choose Technician.
3. Allow Backups: Manage and Antivirus: View only; leave other features No access.
4. Save.</t>
        </is>
      </c>
      <c r="G16" s="2" t="inlineStr">
        <is>
          <t>User card shows exactly those permissions. Password is not displayed back. Keep admin signed in separately.</t>
        </is>
      </c>
      <c r="H16" s="3" t="inlineStr">
        <is>
          <t>Not started</t>
        </is>
      </c>
      <c r="I16" s="3" t="inlineStr"/>
      <c r="J16" s="3" t="inlineStr"/>
      <c r="K16" s="3" t="inlineStr"/>
      <c r="L16" s="6" t="inlineStr"/>
      <c r="M16" s="3" t="inlineStr"/>
    </row>
    <row r="17" ht="110" customHeight="1">
      <c r="A17" s="2" t="inlineStr">
        <is>
          <t>T016</t>
        </is>
      </c>
      <c r="B17" s="2" t="inlineStr">
        <is>
          <t>03 User access</t>
        </is>
      </c>
      <c r="C17" s="2" t="inlineStr">
        <is>
          <t>Required first password change</t>
        </is>
      </c>
      <c r="D17" s="2" t="inlineStr">
        <is>
          <t>Critical</t>
        </is>
      </c>
      <c r="E17" s="2" t="inlineStr">
        <is>
          <t>QA Backup Tech initial credentials</t>
        </is>
      </c>
      <c r="F17" s="2" t="inlineStr">
        <is>
          <t>1. Open a private browser.
2. Sign in as QA Backup Tech.
3. Confirm password-change prompt.
4. Set a new password of at least 16 characters.</t>
        </is>
      </c>
      <c r="G17" s="2" t="inlineStr">
        <is>
          <t>Workspace is unavailable until personal password is set. New password works; initial password no longer works.</t>
        </is>
      </c>
      <c r="H17" s="3" t="inlineStr">
        <is>
          <t>Not started</t>
        </is>
      </c>
      <c r="I17" s="3" t="inlineStr"/>
      <c r="J17" s="3" t="inlineStr"/>
      <c r="K17" s="3" t="inlineStr"/>
      <c r="L17" s="6" t="inlineStr"/>
      <c r="M17" s="3" t="inlineStr"/>
    </row>
    <row r="18" ht="110" customHeight="1">
      <c r="A18" s="2" t="inlineStr">
        <is>
          <t>T017</t>
        </is>
      </c>
      <c r="B18" s="2" t="inlineStr">
        <is>
          <t>03 User access</t>
        </is>
      </c>
      <c r="C18" s="2" t="inlineStr">
        <is>
          <t>Restricted navigation and direct page</t>
        </is>
      </c>
      <c r="D18" s="2" t="inlineStr">
        <is>
          <t>Critical</t>
        </is>
      </c>
      <c r="E18" s="2" t="inlineStr">
        <is>
          <t>QA Backup Tech signed in</t>
        </is>
      </c>
      <c r="F18" s="2" t="inlineStr">
        <is>
          <t>1. Confirm only Backups and Security navigation is available.
2. Enter /#users, /#providers and /#devices in the address bar.</t>
        </is>
      </c>
      <c r="G18" s="2" t="inlineStr">
        <is>
          <t>Restricted pages are not shown. Navigation falls back to an allowed page. Menus alone are not the full security test; complete T018 too.</t>
        </is>
      </c>
      <c r="H18" s="3" t="inlineStr">
        <is>
          <t>Not started</t>
        </is>
      </c>
      <c r="I18" s="3" t="inlineStr"/>
      <c r="J18" s="3" t="inlineStr"/>
      <c r="K18" s="3" t="inlineStr"/>
      <c r="L18" s="6" t="inlineStr"/>
      <c r="M18" s="3" t="inlineStr"/>
    </row>
    <row r="19" ht="110" customHeight="1">
      <c r="A19" s="2" t="inlineStr">
        <is>
          <t>T018</t>
        </is>
      </c>
      <c r="B19" s="2" t="inlineStr">
        <is>
          <t>03 User access</t>
        </is>
      </c>
      <c r="C19" s="2" t="inlineStr">
        <is>
          <t>Server-side access denial</t>
        </is>
      </c>
      <c r="D19" s="2" t="inlineStr">
        <is>
          <t>Critical</t>
        </is>
      </c>
      <c r="E19" s="2" t="inlineStr">
        <is>
          <t>QA Backup Tech; browser Developer Tools Network</t>
        </is>
      </c>
      <c r="F19" s="2" t="inlineStr">
        <is>
          <t>1. In the signed-in private browser address bar open /api/users, /api/provider-registry and /api/patches.
2. Observe HTTP responses.
3. Return to the RMM.</t>
        </is>
      </c>
      <c r="G19" s="2" t="inlineStr">
        <is>
          <t>Each forbidden endpoint returns HTTP 403 without records or vendor settings. Do not paste cookies or tokens into evidence.</t>
        </is>
      </c>
      <c r="H19" s="3" t="inlineStr">
        <is>
          <t>Not started</t>
        </is>
      </c>
      <c r="I19" s="3" t="inlineStr"/>
      <c r="J19" s="3" t="inlineStr"/>
      <c r="K19" s="3" t="inlineStr"/>
      <c r="L19" s="6" t="inlineStr"/>
      <c r="M19" s="3" t="inlineStr"/>
    </row>
    <row r="20" ht="110" customHeight="1">
      <c r="A20" s="2" t="inlineStr">
        <is>
          <t>T019</t>
        </is>
      </c>
      <c r="B20" s="2" t="inlineStr">
        <is>
          <t>03 User access</t>
        </is>
      </c>
      <c r="C20" s="2" t="inlineStr">
        <is>
          <t>Read-only antivirus access</t>
        </is>
      </c>
      <c r="D20" s="2" t="inlineStr">
        <is>
          <t>Critical</t>
        </is>
      </c>
      <c r="E20" s="2" t="inlineStr">
        <is>
          <t>QA Backup Tech; Antivirus View only</t>
        </is>
      </c>
      <c r="F20" s="2" t="inlineStr">
        <is>
          <t>1. Open Security.
2. Confirm status/preferences can be read.
3. Look for Edit provider, Remove choice and Configure console.</t>
        </is>
      </c>
      <c r="G20" s="2" t="inlineStr">
        <is>
          <t>RMM change buttons are hidden; restricted mutation requests are denied. External vendor consoles use their own permissions.</t>
        </is>
      </c>
      <c r="H20" s="3" t="inlineStr">
        <is>
          <t>Not started</t>
        </is>
      </c>
      <c r="I20" s="3" t="inlineStr"/>
      <c r="J20" s="3" t="inlineStr"/>
      <c r="K20" s="3" t="inlineStr"/>
      <c r="L20" s="6" t="inlineStr"/>
      <c r="M20" s="3" t="inlineStr"/>
    </row>
    <row r="21" ht="110" customHeight="1">
      <c r="A21" s="2" t="inlineStr">
        <is>
          <t>T020</t>
        </is>
      </c>
      <c r="B21" s="2" t="inlineStr">
        <is>
          <t>03 User access</t>
        </is>
      </c>
      <c r="C21" s="2" t="inlineStr">
        <is>
          <t>Computer enrollment/manage permissions</t>
        </is>
      </c>
      <c r="D21" s="2" t="inlineStr">
        <is>
          <t>Critical</t>
        </is>
      </c>
      <c r="E21" s="2" t="inlineStr">
        <is>
          <t>Admin can edit QA Backup Tech; separate admin session</t>
        </is>
      </c>
      <c r="F21" s="2" t="inlineStr">
        <is>
          <t>1. Grant Computers: Manage to the QA employee.
2. Sign in again.
3. Generate a QA enrollment link and edit QA computer name.
4. Leave Remote access disabled.</t>
        </is>
      </c>
      <c r="G21" s="2" t="inlineStr">
        <is>
          <t>Computer operations work only after grant; remote Connect remains unavailable without its separate permission.</t>
        </is>
      </c>
      <c r="H21" s="3" t="inlineStr">
        <is>
          <t>Not started</t>
        </is>
      </c>
      <c r="I21" s="3" t="inlineStr"/>
      <c r="J21" s="3" t="inlineStr"/>
      <c r="K21" s="3" t="inlineStr"/>
      <c r="L21" s="6" t="inlineStr"/>
      <c r="M21" s="3" t="inlineStr"/>
    </row>
    <row r="22" ht="110" customHeight="1">
      <c r="A22" s="2" t="inlineStr">
        <is>
          <t>T021</t>
        </is>
      </c>
      <c r="B22" s="2" t="inlineStr">
        <is>
          <t>03 User access</t>
        </is>
      </c>
      <c r="C22" s="2" t="inlineStr">
        <is>
          <t>Remote permission is separate</t>
        </is>
      </c>
      <c r="D22" s="2" t="inlineStr">
        <is>
          <t>Critical</t>
        </is>
      </c>
      <c r="E22" s="2" t="inlineStr">
        <is>
          <t>QA employee has Computers access; QA PC online</t>
        </is>
      </c>
      <c r="F22" s="2" t="inlineStr">
        <is>
          <t>1. As admin grant Remote access: Manage.
2. Employee signs in again.
3. Open Connect.
4. Revoke Remote access and sign in again.</t>
        </is>
      </c>
      <c r="G22" s="2" t="inlineStr">
        <is>
          <t>RMM provides Connect only with remote permission. MeshCentral independently checks its own login/rights; RMM does not create MeshCentral accounts.</t>
        </is>
      </c>
      <c r="H22" s="3" t="inlineStr">
        <is>
          <t>Not started</t>
        </is>
      </c>
      <c r="I22" s="3" t="inlineStr"/>
      <c r="J22" s="3" t="inlineStr"/>
      <c r="K22" s="3" t="inlineStr"/>
      <c r="L22" s="6" t="inlineStr"/>
      <c r="M22" s="3" t="inlineStr"/>
    </row>
    <row r="23" ht="110" customHeight="1">
      <c r="A23" s="2" t="inlineStr">
        <is>
          <t>T022</t>
        </is>
      </c>
      <c r="B23" s="2" t="inlineStr">
        <is>
          <t>03 User access</t>
        </is>
      </c>
      <c r="C23" s="2" t="inlineStr">
        <is>
          <t>Administrator settings access</t>
        </is>
      </c>
      <c r="D23" s="2" t="inlineStr">
        <is>
          <t>Critical</t>
        </is>
      </c>
      <c r="E23" s="2" t="inlineStr">
        <is>
          <t>Existing admin and QA employee</t>
        </is>
      </c>
      <c r="F23" s="2" t="inlineStr">
        <is>
          <t>1. As admin open Providers, AI Agents, email setup and User Management.
2. Confirm QA employee cannot open those settings.</t>
        </is>
      </c>
      <c r="G23" s="2" t="inlineStr">
        <is>
          <t>Settings are administrator-only even when employee has Backup/Antivirus Manage permission.</t>
        </is>
      </c>
      <c r="H23" s="3" t="inlineStr">
        <is>
          <t>Not started</t>
        </is>
      </c>
      <c r="I23" s="3" t="inlineStr"/>
      <c r="J23" s="3" t="inlineStr"/>
      <c r="K23" s="3" t="inlineStr"/>
      <c r="L23" s="6" t="inlineStr"/>
      <c r="M23" s="3" t="inlineStr"/>
    </row>
    <row r="24" ht="110" customHeight="1">
      <c r="A24" s="2" t="inlineStr">
        <is>
          <t>T023</t>
        </is>
      </c>
      <c r="B24" s="2" t="inlineStr">
        <is>
          <t>03 User access</t>
        </is>
      </c>
      <c r="C24" s="2" t="inlineStr">
        <is>
          <t>Permission change revokes session</t>
        </is>
      </c>
      <c r="D24" s="2" t="inlineStr">
        <is>
          <t>Critical</t>
        </is>
      </c>
      <c r="E24" s="2" t="inlineStr">
        <is>
          <t>QA employee signed in; admin in different browser</t>
        </is>
      </c>
      <c r="F24" s="2" t="inlineStr">
        <is>
          <t>1. As admin remove an employee permission and save.
2. In the old employee tab trigger a server-backed action or refresh.
3. Sign in again.</t>
        </is>
      </c>
      <c r="G24" s="2" t="inlineStr">
        <is>
          <t>Old session is rejected; new session reflects revised permissions. Previously accepted in-progress jobs may finish.</t>
        </is>
      </c>
      <c r="H24" s="3" t="inlineStr">
        <is>
          <t>Not started</t>
        </is>
      </c>
      <c r="I24" s="3" t="inlineStr"/>
      <c r="J24" s="3" t="inlineStr"/>
      <c r="K24" s="3" t="inlineStr"/>
      <c r="L24" s="6" t="inlineStr"/>
      <c r="M24" s="3" t="inlineStr"/>
    </row>
    <row r="25" ht="110" customHeight="1">
      <c r="A25" s="2" t="inlineStr">
        <is>
          <t>T024</t>
        </is>
      </c>
      <c r="B25" s="2" t="inlineStr">
        <is>
          <t>03 User access</t>
        </is>
      </c>
      <c r="C25" s="2" t="inlineStr">
        <is>
          <t>Deactivate employee</t>
        </is>
      </c>
      <c r="D25" s="2" t="inlineStr">
        <is>
          <t>Critical</t>
        </is>
      </c>
      <c r="E25" s="2" t="inlineStr">
        <is>
          <t>Disposable QA employee; retain administrator session</t>
        </is>
      </c>
      <c r="F25" s="2" t="inlineStr">
        <is>
          <t>1. As admin uncheck Account active and save.
2. Employee refreshes or triggers an action.
3. Attempt employee sign-in.
4. Reactivate for later testing.</t>
        </is>
      </c>
      <c r="G25" s="2" t="inlineStr">
        <is>
          <t>Existing session is rejected on next request. Inactive user cannot sign in.</t>
        </is>
      </c>
      <c r="H25" s="3" t="inlineStr">
        <is>
          <t>Not started</t>
        </is>
      </c>
      <c r="I25" s="3" t="inlineStr"/>
      <c r="J25" s="3" t="inlineStr"/>
      <c r="K25" s="3" t="inlineStr"/>
      <c r="L25" s="6" t="inlineStr"/>
      <c r="M25" s="3" t="inlineStr"/>
    </row>
    <row r="26" ht="110" customHeight="1">
      <c r="A26" s="2" t="inlineStr">
        <is>
          <t>T025</t>
        </is>
      </c>
      <c r="B26" s="2" t="inlineStr">
        <is>
          <t>03 User access</t>
        </is>
      </c>
      <c r="C26" s="2" t="inlineStr">
        <is>
          <t>Administrator password reset</t>
        </is>
      </c>
      <c r="D26" s="2" t="inlineStr">
        <is>
          <t>High</t>
        </is>
      </c>
      <c r="E26" s="2" t="inlineStr">
        <is>
          <t>Disposable QA employee</t>
        </is>
      </c>
      <c r="F26" s="2" t="inlineStr">
        <is>
          <t>1. Reset employee password in Edit User.
2. Confirm old employee session/password no longer work.
3. Sign in with new initial password.</t>
        </is>
      </c>
      <c r="G26" s="2" t="inlineStr">
        <is>
          <t>Reset requires another personal password change before workspace access.</t>
        </is>
      </c>
      <c r="H26" s="3" t="inlineStr">
        <is>
          <t>Not started</t>
        </is>
      </c>
      <c r="I26" s="3" t="inlineStr"/>
      <c r="J26" s="3" t="inlineStr"/>
      <c r="K26" s="3" t="inlineStr"/>
      <c r="L26" s="6" t="inlineStr"/>
      <c r="M26" s="3" t="inlineStr"/>
    </row>
    <row r="27" ht="110" customHeight="1">
      <c r="A27" s="2" t="inlineStr">
        <is>
          <t>T026</t>
        </is>
      </c>
      <c r="B27" s="2" t="inlineStr">
        <is>
          <t>03 User access</t>
        </is>
      </c>
      <c r="C27" s="2" t="inlineStr">
        <is>
          <t>Protect administrator access</t>
        </is>
      </c>
      <c r="D27" s="2" t="inlineStr">
        <is>
          <t>Critical</t>
        </is>
      </c>
      <c r="E27" s="2" t="inlineStr">
        <is>
          <t>Main admin; never disable your only working account</t>
        </is>
      </c>
      <c r="F27" s="2" t="inlineStr">
        <is>
          <t>1. Open your own admin Edit form.
2. Attempt to deactivate yourself or change your role to Technician.
3. Confirm rejection and leave account unchanged.</t>
        </is>
      </c>
      <c r="G27" s="2" t="inlineStr">
        <is>
          <t>Self-deactivation/self-demotion is rejected. At least one active administrator must remain.</t>
        </is>
      </c>
      <c r="H27" s="3" t="inlineStr">
        <is>
          <t>Not started</t>
        </is>
      </c>
      <c r="I27" s="3" t="inlineStr"/>
      <c r="J27" s="3" t="inlineStr"/>
      <c r="K27" s="3" t="inlineStr"/>
      <c r="L27" s="6" t="inlineStr"/>
      <c r="M27" s="3" t="inlineStr"/>
    </row>
    <row r="28" ht="110" customHeight="1">
      <c r="A28" s="2" t="inlineStr">
        <is>
          <t>T027</t>
        </is>
      </c>
      <c r="B28" s="2" t="inlineStr">
        <is>
          <t>04 Remote &amp; scripts</t>
        </is>
      </c>
      <c r="C28" s="2" t="inlineStr">
        <is>
          <t>Remote desktop session</t>
        </is>
      </c>
      <c r="D28" s="2" t="inlineStr">
        <is>
          <t>Critical</t>
        </is>
      </c>
      <c r="E28" s="2" t="inlineStr">
        <is>
          <t>QA PC online; authorized MeshCentral login; Remote access permission</t>
        </is>
      </c>
      <c r="F28" s="2" t="inlineStr">
        <is>
          <t>1. Click Connect on QA PC.
2. Authenticate with MeshCentral as needed.
3. Open desktop and perform a harmless action.
4. Disconnect.</t>
        </is>
      </c>
      <c r="G28" s="2" t="inlineStr">
        <is>
          <t>Correct PC opens. Remote input/display works. Other computers are not connected accidentally.</t>
        </is>
      </c>
      <c r="H28" s="3" t="inlineStr">
        <is>
          <t>Not started</t>
        </is>
      </c>
      <c r="I28" s="3" t="inlineStr"/>
      <c r="J28" s="3" t="inlineStr"/>
      <c r="K28" s="3" t="inlineStr"/>
      <c r="L28" s="6" t="inlineStr"/>
      <c r="M28" s="3" t="inlineStr"/>
    </row>
    <row r="29" ht="110" customHeight="1">
      <c r="A29" s="2" t="inlineStr">
        <is>
          <t>T028</t>
        </is>
      </c>
      <c r="B29" s="2" t="inlineStr">
        <is>
          <t>04 Remote &amp; scripts</t>
        </is>
      </c>
      <c r="C29" s="2" t="inlineStr">
        <is>
          <t>Script Marketplace browse/copy/download</t>
        </is>
      </c>
      <c r="D29" s="2" t="inlineStr">
        <is>
          <t>Normal</t>
        </is>
      </c>
      <c r="E29" s="2" t="inlineStr">
        <is>
          <t>Scripts feature access</t>
        </is>
      </c>
      <c r="F29" s="2" t="inlineStr">
        <is>
          <t>1. Search Disk Space Report.
2. View Code.
3. Copy it.
4. Download the script.</t>
        </is>
      </c>
      <c r="G29" s="2" t="inlineStr">
        <is>
          <t>The same script content is visible, copied and downloaded. Marketplace does not remotely execute it.</t>
        </is>
      </c>
      <c r="H29" s="3" t="inlineStr">
        <is>
          <t>Not started</t>
        </is>
      </c>
      <c r="I29" s="3" t="inlineStr"/>
      <c r="J29" s="3" t="inlineStr"/>
      <c r="K29" s="3" t="inlineStr"/>
      <c r="L29" s="6" t="inlineStr"/>
      <c r="M29" s="3" t="inlineStr"/>
    </row>
    <row r="30" ht="110" customHeight="1">
      <c r="A30" s="2" t="inlineStr">
        <is>
          <t>T029</t>
        </is>
      </c>
      <c r="B30" s="2" t="inlineStr">
        <is>
          <t>04 Remote &amp; scripts</t>
        </is>
      </c>
      <c r="C30" s="2" t="inlineStr">
        <is>
          <t>Read-only script execution</t>
        </is>
      </c>
      <c r="D30" s="2" t="inlineStr">
        <is>
          <t>High</t>
        </is>
      </c>
      <c r="E30" s="2" t="inlineStr">
        <is>
          <t>QA PC; downloaded Disk Space Report; reviewed source</t>
        </is>
      </c>
      <c r="F30" s="2" t="inlineStr">
        <is>
          <t>1. Inspect script before running.
2. Follow existing instructions for trusted PowerShell files.
3. Run Disk Space Report locally.
4. Record output.</t>
        </is>
      </c>
      <c r="G30" s="2" t="inlineStr">
        <is>
          <t>Report lists real drive data without deleting files or changing the PC. Respect company execution-policy requirements.</t>
        </is>
      </c>
      <c r="H30" s="3" t="inlineStr">
        <is>
          <t>Not started</t>
        </is>
      </c>
      <c r="I30" s="3" t="inlineStr"/>
      <c r="J30" s="3" t="inlineStr"/>
      <c r="K30" s="3" t="inlineStr"/>
      <c r="L30" s="6" t="inlineStr"/>
      <c r="M30" s="3" t="inlineStr"/>
    </row>
    <row r="31" ht="110" customHeight="1">
      <c r="A31" s="2" t="inlineStr">
        <is>
          <t>T030</t>
        </is>
      </c>
      <c r="B31" s="2" t="inlineStr">
        <is>
          <t>05 Backup &amp; antivirus</t>
        </is>
      </c>
      <c r="C31" s="2" t="inlineStr">
        <is>
          <t>Provider setup and persistence</t>
        </is>
      </c>
      <c r="D31" s="2" t="inlineStr">
        <is>
          <t>High</t>
        </is>
      </c>
      <c r="E31" s="2" t="inlineStr">
        <is>
          <t>Administrator; known provider console addresses</t>
        </is>
      </c>
      <c r="F31" s="2" t="inlineStr">
        <is>
          <t>1. Review/add Acronis, Comet and MSP360 backup choices and required antivirus choices.
2. Edit a test provider note.
3. Refresh.</t>
        </is>
      </c>
      <c r="G31" s="2" t="inlineStr">
        <is>
          <t>Provider metadata persists. Adding a provider alone does not connect its API or install an agent.</t>
        </is>
      </c>
      <c r="H31" s="3" t="inlineStr">
        <is>
          <t>Not started</t>
        </is>
      </c>
      <c r="I31" s="3" t="inlineStr"/>
      <c r="J31" s="3" t="inlineStr"/>
      <c r="K31" s="3" t="inlineStr"/>
      <c r="L31" s="6" t="inlineStr"/>
      <c r="M31" s="3" t="inlineStr"/>
    </row>
    <row r="32" ht="110" customHeight="1">
      <c r="A32" s="2" t="inlineStr">
        <is>
          <t>T031</t>
        </is>
      </c>
      <c r="B32" s="2" t="inlineStr">
        <is>
          <t>05 Backup &amp; antivirus</t>
        </is>
      </c>
      <c r="C32" s="2" t="inlineStr">
        <is>
          <t>Provider secrets remain masked</t>
        </is>
      </c>
      <c r="D32" s="2" t="inlineStr">
        <is>
          <t>Critical</t>
        </is>
      </c>
      <c r="E32" s="2" t="inlineStr">
        <is>
          <t>Admin; supported Acronis API setup if available</t>
        </is>
      </c>
      <c r="F32" s="2" t="inlineStr">
        <is>
          <t>1. Save supported credentials through Provider Setup.
2. Reopen Edit and leave secret blank.
3. Save an unrelated note.
4. Inspect browser response for returned fields.</t>
        </is>
      </c>
      <c r="G32" s="2" t="inlineStr">
        <is>
          <t>Saved secret is never returned; leaving it blank preserves it. Do not include actual secrets in screenshots or Issues.</t>
        </is>
      </c>
      <c r="H32" s="3" t="inlineStr">
        <is>
          <t>Not started</t>
        </is>
      </c>
      <c r="I32" s="3" t="inlineStr"/>
      <c r="J32" s="3" t="inlineStr"/>
      <c r="K32" s="3" t="inlineStr"/>
      <c r="L32" s="6" t="inlineStr"/>
      <c r="M32" s="3" t="inlineStr"/>
    </row>
    <row r="33" ht="110" customHeight="1">
      <c r="A33" s="2" t="inlineStr">
        <is>
          <t>T032</t>
        </is>
      </c>
      <c r="B33" s="2" t="inlineStr">
        <is>
          <t>05 Backup &amp; antivirus</t>
        </is>
      </c>
      <c r="C33" s="2" t="inlineStr">
        <is>
          <t>Company provider preferences</t>
        </is>
      </c>
      <c r="D33" s="2" t="inlineStr">
        <is>
          <t>High</t>
        </is>
      </c>
      <c r="E33" s="2" t="inlineStr">
        <is>
          <t>QA company; Backup/Security Manage permission</t>
        </is>
      </c>
      <c r="F33" s="2" t="inlineStr">
        <is>
          <t>1. Assign backup provider to QA company.
2. Assign antivirus provider.
3. Refresh and filter by provider.</t>
        </is>
      </c>
      <c r="G33" s="2" t="inlineStr">
        <is>
          <t>Company choices persist. No installation or protection is claimed solely because a preference was saved.</t>
        </is>
      </c>
      <c r="H33" s="3" t="inlineStr">
        <is>
          <t>Not started</t>
        </is>
      </c>
      <c r="I33" s="3" t="inlineStr"/>
      <c r="J33" s="3" t="inlineStr"/>
      <c r="K33" s="3" t="inlineStr"/>
      <c r="L33" s="6" t="inlineStr"/>
      <c r="M33" s="3" t="inlineStr"/>
    </row>
    <row r="34" ht="110" customHeight="1">
      <c r="A34" s="2" t="inlineStr">
        <is>
          <t>T033</t>
        </is>
      </c>
      <c r="B34" s="2" t="inlineStr">
        <is>
          <t>05 Backup &amp; antivirus</t>
        </is>
      </c>
      <c r="C34" s="2" t="inlineStr">
        <is>
          <t>Acronis API connection and matching</t>
        </is>
      </c>
      <c r="D34" s="2" t="inlineStr">
        <is>
          <t>High</t>
        </is>
      </c>
      <c r="E34" s="2" t="inlineStr">
        <is>
          <t>Acronis test tenant; API client access; existing QA protected device</t>
        </is>
      </c>
      <c r="F34" s="2" t="inlineStr">
        <is>
          <t>1. Test Acronis connection.
2. Load inventory.
3. Link QA PC to the matching Acronis resource.
4. Compare company/device identities carefully.</t>
        </is>
      </c>
      <c r="G34" s="2" t="inlineStr">
        <is>
          <t>Authentication succeeds; matching device is linked uniquely. Missing/ambiguous backup evidence stays unverified.</t>
        </is>
      </c>
      <c r="H34" s="3" t="inlineStr">
        <is>
          <t>Not started</t>
        </is>
      </c>
      <c r="I34" s="3" t="inlineStr"/>
      <c r="J34" s="3" t="inlineStr"/>
      <c r="K34" s="3" t="inlineStr"/>
      <c r="L34" s="6" t="inlineStr"/>
      <c r="M34" s="3" t="inlineStr"/>
    </row>
    <row r="35" ht="110" customHeight="1">
      <c r="A35" s="2" t="inlineStr">
        <is>
          <t>T034</t>
        </is>
      </c>
      <c r="B35" s="2" t="inlineStr">
        <is>
          <t>05 Backup &amp; antivirus</t>
        </is>
      </c>
      <c r="C35" s="2" t="inlineStr">
        <is>
          <t>Acronis backup completion</t>
        </is>
      </c>
      <c r="D35" s="2" t="inlineStr">
        <is>
          <t>Critical</t>
        </is>
      </c>
      <c r="E35" s="2" t="inlineStr">
        <is>
          <t>QA PC and backup plan in Acronis console</t>
        </is>
      </c>
      <c r="F35" s="2" t="inlineStr">
        <is>
          <t>1. Run a backup in Acronis for QA PC.
2. Wait for completion.
3. Refresh RMM backup history.
4. Check task identity and result.</t>
        </is>
      </c>
      <c r="G35" s="2" t="inlineStr">
        <is>
          <t>Vendor confirms completed backup. RMM reports only supported, uniquely matched task evidence. No completed task is treated as proof of retained recovery points.</t>
        </is>
      </c>
      <c r="H35" s="3" t="inlineStr">
        <is>
          <t>Not started</t>
        </is>
      </c>
      <c r="I35" s="3" t="inlineStr"/>
      <c r="J35" s="3" t="inlineStr"/>
      <c r="K35" s="3" t="inlineStr"/>
      <c r="L35" s="6" t="inlineStr"/>
      <c r="M35" s="3" t="inlineStr"/>
    </row>
    <row r="36" ht="110" customHeight="1">
      <c r="A36" s="2" t="inlineStr">
        <is>
          <t>T035</t>
        </is>
      </c>
      <c r="B36" s="2" t="inlineStr">
        <is>
          <t>05 Backup &amp; antivirus</t>
        </is>
      </c>
      <c r="C36" s="2" t="inlineStr">
        <is>
          <t>Recover a test file</t>
        </is>
      </c>
      <c r="D36" s="2" t="inlineStr">
        <is>
          <t>Critical</t>
        </is>
      </c>
      <c r="E36" s="2" t="inlineStr">
        <is>
          <t>Completed QA backup; harmless test file; alternate restore folder</t>
        </is>
      </c>
      <c r="F36" s="2" t="inlineStr">
        <is>
          <t>1. Select a backed-up QA test file in vendor console.
2. Restore it to a NEW folder.
3. Open file and compare content.</t>
        </is>
      </c>
      <c r="G36" s="2" t="inlineStr">
        <is>
          <t>File restores correctly to alternate location. Do not overwrite production files or restore an entire production disk.</t>
        </is>
      </c>
      <c r="H36" s="3" t="inlineStr">
        <is>
          <t>Not started</t>
        </is>
      </c>
      <c r="I36" s="3" t="inlineStr"/>
      <c r="J36" s="3" t="inlineStr"/>
      <c r="K36" s="3" t="inlineStr"/>
      <c r="L36" s="6" t="inlineStr"/>
      <c r="M36" s="3" t="inlineStr"/>
    </row>
    <row r="37" ht="110" customHeight="1">
      <c r="A37" s="2" t="inlineStr">
        <is>
          <t>T036</t>
        </is>
      </c>
      <c r="B37" s="2" t="inlineStr">
        <is>
          <t>05 Backup &amp; antivirus</t>
        </is>
      </c>
      <c r="C37" s="2" t="inlineStr">
        <is>
          <t>Comet/MSP360 console workflow</t>
        </is>
      </c>
      <c r="D37" s="2" t="inlineStr">
        <is>
          <t>High</t>
        </is>
      </c>
      <c r="E37" s="2" t="inlineStr">
        <is>
          <t>Chosen vendor test account, agent/license/storage as required</t>
        </is>
      </c>
      <c r="F37" s="2" t="inlineStr">
        <is>
          <t>1. Assign chosen provider in RMM.
2. Open its console with vendor-authorized credentials.
3. Run backup and test-file restore there.
4. Record vendor result separately.</t>
        </is>
      </c>
      <c r="G37" s="2" t="inlineStr">
        <is>
          <t>Vendor backup/restore works if configured. RMM console-only integration remains explicitly unverified; do not mark native RMM API automation as passed.</t>
        </is>
      </c>
      <c r="H37" s="3" t="inlineStr">
        <is>
          <t>Not started</t>
        </is>
      </c>
      <c r="I37" s="3" t="inlineStr"/>
      <c r="J37" s="3" t="inlineStr"/>
      <c r="K37" s="3" t="inlineStr"/>
      <c r="L37" s="6" t="inlineStr"/>
      <c r="M37" s="3" t="inlineStr"/>
    </row>
    <row r="38" ht="110" customHeight="1">
      <c r="A38" s="2" t="inlineStr">
        <is>
          <t>T037</t>
        </is>
      </c>
      <c r="B38" s="2" t="inlineStr">
        <is>
          <t>05 Backup &amp; antivirus</t>
        </is>
      </c>
      <c r="C38" s="2" t="inlineStr">
        <is>
          <t>Antivirus protection and agent compatibility</t>
        </is>
      </c>
      <c r="D38" s="2" t="inlineStr">
        <is>
          <t>Critical</t>
        </is>
      </c>
      <c r="E38" s="2" t="inlineStr">
        <is>
          <t>QA PC; chosen licensed antivirus provider</t>
        </is>
      </c>
      <c r="F38" s="2" t="inlineStr">
        <is>
          <t>1. Check protection/update status in vendor console.
2. Confirm antivirus and MeshCentral agent remain running.
3. Restart QA PC and reconnect.
4. Review vendor alerts/quarantine if connection fails.</t>
        </is>
      </c>
      <c r="G38" s="2" t="inlineStr">
        <is>
          <t>Vendor verifies protection; MeshCentral still connects. RMM preference alone does not prove protection. Investigate detections rather than disabling all protection.</t>
        </is>
      </c>
      <c r="H38" s="3" t="inlineStr">
        <is>
          <t>Not started</t>
        </is>
      </c>
      <c r="I38" s="3" t="inlineStr"/>
      <c r="J38" s="3" t="inlineStr"/>
      <c r="K38" s="3" t="inlineStr"/>
      <c r="L38" s="6" t="inlineStr"/>
      <c r="M38" s="3" t="inlineStr"/>
    </row>
    <row r="39" ht="110" customHeight="1">
      <c r="A39" s="2" t="inlineStr">
        <is>
          <t>T038</t>
        </is>
      </c>
      <c r="B39" s="2" t="inlineStr">
        <is>
          <t>06 Patch planning</t>
        </is>
      </c>
      <c r="C39" s="2" t="inlineStr">
        <is>
          <t>Create and edit a real patch record</t>
        </is>
      </c>
      <c r="D39" s="2" t="inlineStr">
        <is>
          <t>High</t>
        </is>
      </c>
      <c r="E39" s="2" t="inlineStr">
        <is>
          <t>QA PC; Windows Update pending list or vendor applicability guidance</t>
        </is>
      </c>
      <c r="F39" s="2" t="inlineStr">
        <is>
          <t>1. Choose a REAL pending/applicable update on QA PC.
2. Add exact KB/reference, description, vendor, type/severity.
3. Set Requires Reboot based on vendor guidance.
4. Edit and refresh.</t>
        </is>
      </c>
      <c r="G39" s="2" t="inlineStr">
        <is>
          <t>Catalog fields persist. Previously installed KBs are not used as evidence of a needed patch. Catalog does not discover/install updates automatically.</t>
        </is>
      </c>
      <c r="H39" s="3" t="inlineStr">
        <is>
          <t>Not started</t>
        </is>
      </c>
      <c r="I39" s="3" t="inlineStr"/>
      <c r="J39" s="3" t="inlineStr"/>
      <c r="K39" s="3" t="inlineStr"/>
      <c r="L39" s="6" t="inlineStr"/>
      <c r="M39" s="3" t="inlineStr"/>
    </row>
    <row r="40" ht="110" customHeight="1">
      <c r="A40" s="2" t="inlineStr">
        <is>
          <t>T039</t>
        </is>
      </c>
      <c r="B40" s="2" t="inlineStr">
        <is>
          <t>06 Patch planning</t>
        </is>
      </c>
      <c r="C40" s="2" t="inlineStr">
        <is>
          <t>Patch search, categories and reboot label</t>
        </is>
      </c>
      <c r="D40" s="2" t="inlineStr">
        <is>
          <t>Normal</t>
        </is>
      </c>
      <c r="E40" s="2" t="inlineStr">
        <is>
          <t>QA patch record</t>
        </is>
      </c>
      <c r="F40" s="2" t="inlineStr">
        <is>
          <t>1. Search exact patch name/ID.
2. Filter its type.
3. Toggle Requires Reboot in Edit and save.</t>
        </is>
      </c>
      <c r="G40" s="2" t="inlineStr">
        <is>
          <t>Correct patch is found and declared reboot setting is displayed accurately.</t>
        </is>
      </c>
      <c r="H40" s="3" t="inlineStr">
        <is>
          <t>Not started</t>
        </is>
      </c>
      <c r="I40" s="3" t="inlineStr"/>
      <c r="J40" s="3" t="inlineStr"/>
      <c r="K40" s="3" t="inlineStr"/>
      <c r="L40" s="6" t="inlineStr"/>
      <c r="M40" s="3" t="inlineStr"/>
    </row>
    <row r="41" ht="110" customHeight="1">
      <c r="A41" s="2" t="inlineStr">
        <is>
          <t>T040</t>
        </is>
      </c>
      <c r="B41" s="2" t="inlineStr">
        <is>
          <t>06 Patch planning</t>
        </is>
      </c>
      <c r="C41" s="2" t="inlineStr">
        <is>
          <t>Company-wide planned-update notification</t>
        </is>
      </c>
      <c r="D41" s="2" t="inlineStr">
        <is>
          <t>High</t>
        </is>
      </c>
      <c r="E41" s="2" t="inlineStr">
        <is>
          <t>QA company; online QA Windows PCs with signed-in test users</t>
        </is>
      </c>
      <c r="F41" s="2" t="inlineStr">
        <is>
          <t>1. Deploy/plan notice for QA company only.
2. Enter a real maintenance date/time including time zone.
3. Check each signed-in QA user session for the popup.
4. Record per-PC delivery and screenshots.</t>
        </is>
      </c>
      <c r="G41" s="2" t="inlineStr">
        <is>
          <t>Signed-in test sessions receive planned-update notice with declared reboot requirement. Windows accepted is not proof user read it. No patch install/restart is implied.</t>
        </is>
      </c>
      <c r="H41" s="3" t="inlineStr">
        <is>
          <t>Not started</t>
        </is>
      </c>
      <c r="I41" s="3" t="inlineStr"/>
      <c r="J41" s="3" t="inlineStr"/>
      <c r="K41" s="3" t="inlineStr"/>
      <c r="L41" s="6" t="inlineStr"/>
      <c r="M41" s="3" t="inlineStr"/>
    </row>
    <row r="42" ht="110" customHeight="1">
      <c r="A42" s="2" t="inlineStr">
        <is>
          <t>T041</t>
        </is>
      </c>
      <c r="B42" s="2" t="inlineStr">
        <is>
          <t>06 Patch planning</t>
        </is>
      </c>
      <c r="C42" s="2" t="inlineStr">
        <is>
          <t>Offline notification outcome</t>
        </is>
      </c>
      <c r="D42" s="2" t="inlineStr">
        <is>
          <t>High</t>
        </is>
      </c>
      <c r="E42" s="2" t="inlineStr">
        <is>
          <t>QA company; one disconnected QA PC</t>
        </is>
      </c>
      <c r="F42" s="2" t="inlineStr">
        <is>
          <t>1. Keep one QA PC offline.
2. Submit a QA notice.
3. Inspect per-PC results.</t>
        </is>
      </c>
      <c r="G42" s="2" t="inlineStr">
        <is>
          <t>Offline/busy/failed/uncertain targets are shown honestly rather than claiming delivery to all PCs. Verify actual screens for online targets.</t>
        </is>
      </c>
      <c r="H42" s="3" t="inlineStr">
        <is>
          <t>Not started</t>
        </is>
      </c>
      <c r="I42" s="3" t="inlineStr"/>
      <c r="J42" s="3" t="inlineStr"/>
      <c r="K42" s="3" t="inlineStr"/>
      <c r="L42" s="6" t="inlineStr"/>
      <c r="M42" s="3" t="inlineStr"/>
    </row>
    <row r="43" ht="110" customHeight="1">
      <c r="A43" s="2" t="inlineStr">
        <is>
          <t>T042</t>
        </is>
      </c>
      <c r="B43" s="2" t="inlineStr">
        <is>
          <t>06 Patch planning</t>
        </is>
      </c>
      <c r="C43" s="2" t="inlineStr">
        <is>
          <t>Verify actual update separately</t>
        </is>
      </c>
      <c r="D43" s="2" t="inlineStr">
        <is>
          <t>High</t>
        </is>
      </c>
      <c r="E43" s="2" t="inlineStr">
        <is>
          <t>QA maintenance window; approved applicable update</t>
        </is>
      </c>
      <c r="F43" s="2" t="inlineStr">
        <is>
          <t>1. Install applicable update using Windows Update or authorized vendor workflow.
2. Restart only if required and agreed.
3. Check Windows Update history/build afterward.
4. Record actual result.</t>
        </is>
      </c>
      <c r="G43" s="2" t="inlineStr">
        <is>
          <t>Windows/vendor confirms installation. RMM planned count is not treated as verified installed state. Native installation remains Future Features.</t>
        </is>
      </c>
      <c r="H43" s="3" t="inlineStr">
        <is>
          <t>Not started</t>
        </is>
      </c>
      <c r="I43" s="3" t="inlineStr"/>
      <c r="J43" s="3" t="inlineStr"/>
      <c r="K43" s="3" t="inlineStr"/>
      <c r="L43" s="6" t="inlineStr"/>
      <c r="M43" s="3" t="inlineStr"/>
    </row>
    <row r="44" ht="110" customHeight="1">
      <c r="A44" s="2" t="inlineStr">
        <is>
          <t>T043</t>
        </is>
      </c>
      <c r="B44" s="2" t="inlineStr">
        <is>
          <t>07 Network &amp; AD</t>
        </is>
      </c>
      <c r="C44" s="2" t="inlineStr">
        <is>
          <t>Scan the correct local subnet</t>
        </is>
      </c>
      <c r="D44" s="2" t="inlineStr">
        <is>
          <t>High</t>
        </is>
      </c>
      <c r="E44" s="2" t="inlineStr">
        <is>
          <t>QA/owned subnet; online Windows scan agent; consent to scan</t>
        </is>
      </c>
      <c r="F44" s="2" t="inlineStr">
        <is>
          <t>1. Run ipconfig on QA scan agent.
2. Identify active adapter address/mask.
3. Enter its actual private subnet, e.g. 192.168.0.0/24 only if matching.
4. Select QA company/agent and scan.
5. Wait for completion.</t>
        </is>
      </c>
      <c r="G44" s="2" t="inlineStr">
        <is>
          <t>Real observed devices appear; source agent/subnet are correct. Do not scan arbitrary customer/public networks.</t>
        </is>
      </c>
      <c r="H44" s="3" t="inlineStr">
        <is>
          <t>Not started</t>
        </is>
      </c>
      <c r="I44" s="3" t="inlineStr"/>
      <c r="J44" s="3" t="inlineStr"/>
      <c r="K44" s="3" t="inlineStr"/>
      <c r="L44" s="6" t="inlineStr"/>
      <c r="M44" s="3" t="inlineStr"/>
    </row>
    <row r="45" ht="110" customHeight="1">
      <c r="A45" s="2" t="inlineStr">
        <is>
          <t>T044</t>
        </is>
      </c>
      <c r="B45" s="2" t="inlineStr">
        <is>
          <t>07 Network &amp; AD</t>
        </is>
      </c>
      <c r="C45" s="2" t="inlineStr">
        <is>
          <t>Network results, filtering and labels</t>
        </is>
      </c>
      <c r="D45" s="2" t="inlineStr">
        <is>
          <t>Normal</t>
        </is>
      </c>
      <c r="E45" s="2" t="inlineStr">
        <is>
          <t>Completed QA scan</t>
        </is>
      </c>
      <c r="F45" s="2" t="inlineStr">
        <is>
          <t>1. Compare two discovered IPs with known QA devices/router.
2. Filter device types.
3. Edit a QA device label/type.
4. Refresh.</t>
        </is>
      </c>
      <c r="G45" s="2" t="inlineStr">
        <is>
          <t>Observed IP/port data matches evidence; manual labels persist. Discovery map does not invent physical network topology.</t>
        </is>
      </c>
      <c r="H45" s="3" t="inlineStr">
        <is>
          <t>Not started</t>
        </is>
      </c>
      <c r="I45" s="3" t="inlineStr"/>
      <c r="J45" s="3" t="inlineStr"/>
      <c r="K45" s="3" t="inlineStr"/>
      <c r="L45" s="6" t="inlineStr"/>
      <c r="M45" s="3" t="inlineStr"/>
    </row>
    <row r="46" ht="110" customHeight="1">
      <c r="A46" s="2" t="inlineStr">
        <is>
          <t>T045</t>
        </is>
      </c>
      <c r="B46" s="2" t="inlineStr">
        <is>
          <t>07 Network &amp; AD</t>
        </is>
      </c>
      <c r="C46" s="2" t="inlineStr">
        <is>
          <t>Network scan error handling</t>
        </is>
      </c>
      <c r="D46" s="2" t="inlineStr">
        <is>
          <t>High</t>
        </is>
      </c>
      <c r="E46" s="2" t="inlineStr">
        <is>
          <t>QA scan setup</t>
        </is>
      </c>
      <c r="F46" s="2" t="inlineStr">
        <is>
          <t>1. Try a subnet that is NOT connected to the selected QA agent, or an invalid CIDR.
2. Submit scan.</t>
        </is>
      </c>
      <c r="G46" s="2" t="inlineStr">
        <is>
          <t>Validation/error explains the problem. It does not invent successful results. Do not repeatedly start scans on a busy agent.</t>
        </is>
      </c>
      <c r="H46" s="3" t="inlineStr">
        <is>
          <t>Not started</t>
        </is>
      </c>
      <c r="I46" s="3" t="inlineStr"/>
      <c r="J46" s="3" t="inlineStr"/>
      <c r="K46" s="3" t="inlineStr"/>
      <c r="L46" s="6" t="inlineStr"/>
      <c r="M46" s="3" t="inlineStr"/>
    </row>
    <row r="47" ht="110" customHeight="1">
      <c r="A47" s="2" t="inlineStr">
        <is>
          <t>T046</t>
        </is>
      </c>
      <c r="B47" s="2" t="inlineStr">
        <is>
          <t>07 Network &amp; AD</t>
        </is>
      </c>
      <c r="C47" s="2" t="inlineStr">
        <is>
          <t>Active Directory read-only sync</t>
        </is>
      </c>
      <c r="D47" s="2" t="inlineStr">
        <is>
          <t>High</t>
        </is>
      </c>
      <c r="E47" s="2" t="inlineStr">
        <is>
          <t>QA domain; DC/domain-joined agent; RSAT; authorized service account</t>
        </is>
      </c>
      <c r="F47" s="2" t="inlineStr">
        <is>
          <t>1. Select QA company and AD-capable agent.
2. Sync from AD.
3. Compare known test user/group/OU with AD tools.</t>
        </is>
      </c>
      <c r="G47" s="2" t="inlineStr">
        <is>
          <t>Real directory records appear in correct scope. No AD accounts, passwords or memberships are changed. If prerequisites missing, mark Blocked or justified Not applicable.</t>
        </is>
      </c>
      <c r="H47" s="3" t="inlineStr">
        <is>
          <t>Not started</t>
        </is>
      </c>
      <c r="I47" s="3" t="inlineStr"/>
      <c r="J47" s="3" t="inlineStr"/>
      <c r="K47" s="3" t="inlineStr"/>
      <c r="L47" s="6" t="inlineStr"/>
      <c r="M47" s="3" t="inlineStr"/>
    </row>
    <row r="48" ht="110" customHeight="1">
      <c r="A48" s="2" t="inlineStr">
        <is>
          <t>T047</t>
        </is>
      </c>
      <c r="B48" s="2" t="inlineStr">
        <is>
          <t>08 Tickets &amp; AI</t>
        </is>
      </c>
      <c r="C48" s="2" t="inlineStr">
        <is>
          <t>Create a manual ticket</t>
        </is>
      </c>
      <c r="D48" s="2" t="inlineStr">
        <is>
          <t>Critical</t>
        </is>
      </c>
      <c r="E48" s="2" t="inlineStr">
        <is>
          <t>QA customer/company and PC</t>
        </is>
      </c>
      <c r="F48" s="2" t="inlineStr">
        <is>
          <t>1. Create QA ticket with title, description, customer, PC, priority/category.
2. Open its details.
3. Refresh.</t>
        </is>
      </c>
      <c r="G48" s="2" t="inlineStr">
        <is>
          <t>Unique ticket number, correct relationships and data persist.</t>
        </is>
      </c>
      <c r="H48" s="3" t="inlineStr">
        <is>
          <t>Not started</t>
        </is>
      </c>
      <c r="I48" s="3" t="inlineStr"/>
      <c r="J48" s="3" t="inlineStr"/>
      <c r="K48" s="3" t="inlineStr"/>
      <c r="L48" s="6" t="inlineStr"/>
      <c r="M48" s="3" t="inlineStr"/>
    </row>
    <row r="49" ht="110" customHeight="1">
      <c r="A49" s="2" t="inlineStr">
        <is>
          <t>T048</t>
        </is>
      </c>
      <c r="B49" s="2" t="inlineStr">
        <is>
          <t>08 Tickets &amp; AI</t>
        </is>
      </c>
      <c r="C49" s="2" t="inlineStr">
        <is>
          <t>Ticket lifecycle and notes</t>
        </is>
      </c>
      <c r="D49" s="2" t="inlineStr">
        <is>
          <t>High</t>
        </is>
      </c>
      <c r="E49" s="2" t="inlineStr">
        <is>
          <t>QA manual ticket; Tickets Manage</t>
        </is>
      </c>
      <c r="F49" s="2" t="inlineStr">
        <is>
          <t>1. Add internal note.
2. Edit priority/category.
3. Mark In Progress, then Resolved.
4. Reopen it.</t>
        </is>
      </c>
      <c r="G49" s="2" t="inlineStr">
        <is>
          <t>Status and notes persist; note identifies actual signed-in technician. Internal notes are not emailed.</t>
        </is>
      </c>
      <c r="H49" s="3" t="inlineStr">
        <is>
          <t>Not started</t>
        </is>
      </c>
      <c r="I49" s="3" t="inlineStr"/>
      <c r="J49" s="3" t="inlineStr"/>
      <c r="K49" s="3" t="inlineStr"/>
      <c r="L49" s="6" t="inlineStr"/>
      <c r="M49" s="3" t="inlineStr"/>
    </row>
    <row r="50" ht="110" customHeight="1">
      <c r="A50" s="2" t="inlineStr">
        <is>
          <t>T049</t>
        </is>
      </c>
      <c r="B50" s="2" t="inlineStr">
        <is>
          <t>08 Tickets &amp; AI</t>
        </is>
      </c>
      <c r="C50" s="2" t="inlineStr">
        <is>
          <t>Configure a dedicated test support mailbox</t>
        </is>
      </c>
      <c r="D50" s="2" t="inlineStr">
        <is>
          <t>High</t>
        </is>
      </c>
      <c r="E50" s="2" t="inlineStr">
        <is>
          <t>Admin; IMAP mailbox/server; verified TLS; provider instructions</t>
        </is>
      </c>
      <c r="F50" s="2" t="inlineStr">
        <is>
          <t>1. Configure test address, host, user, folder and password.
2. Save and run Check Mail.
3. Reopen setup.</t>
        </is>
      </c>
      <c r="G50" s="2" t="inlineStr">
        <is>
          <t>Connection succeeds with verified TLS. Password remains masked. Initial connection establishes new-mail checkpoint rather than importing historical inbox.</t>
        </is>
      </c>
      <c r="H50" s="3" t="inlineStr">
        <is>
          <t>Not started</t>
        </is>
      </c>
      <c r="I50" s="3" t="inlineStr"/>
      <c r="J50" s="3" t="inlineStr"/>
      <c r="K50" s="3" t="inlineStr"/>
      <c r="L50" s="6" t="inlineStr"/>
      <c r="M50" s="3" t="inlineStr"/>
    </row>
    <row r="51" ht="110" customHeight="1">
      <c r="A51" s="2" t="inlineStr">
        <is>
          <t>T050</t>
        </is>
      </c>
      <c r="B51" s="2" t="inlineStr">
        <is>
          <t>08 Tickets &amp; AI</t>
        </is>
      </c>
      <c r="C51" s="2" t="inlineStr">
        <is>
          <t>Incoming email creates ticket</t>
        </is>
      </c>
      <c r="D51" s="2" t="inlineStr">
        <is>
          <t>Critical</t>
        </is>
      </c>
      <c r="E51" s="2" t="inlineStr">
        <is>
          <t>Configured test mailbox; Check Mail checkpoint completed</t>
        </is>
      </c>
      <c r="F51" s="2" t="inlineStr">
        <is>
          <t>1. Send a NEW message from a separate test sender after setup.
2. Wait for poll or Check Mail.
3. Open created ticket.</t>
        </is>
      </c>
      <c r="G51" s="2" t="inlineStr">
        <is>
          <t>One ticket is created with correct subject/body/requester and email source. Attachments remain in mailbox; no outbound acknowledgment is expected.</t>
        </is>
      </c>
      <c r="H51" s="3" t="inlineStr">
        <is>
          <t>Not started</t>
        </is>
      </c>
      <c r="I51" s="3" t="inlineStr"/>
      <c r="J51" s="3" t="inlineStr"/>
      <c r="K51" s="3" t="inlineStr"/>
      <c r="L51" s="6" t="inlineStr"/>
      <c r="M51" s="3" t="inlineStr"/>
    </row>
    <row r="52" ht="110" customHeight="1">
      <c r="A52" s="2" t="inlineStr">
        <is>
          <t>T051</t>
        </is>
      </c>
      <c r="B52" s="2" t="inlineStr">
        <is>
          <t>08 Tickets &amp; AI</t>
        </is>
      </c>
      <c r="C52" s="2" t="inlineStr">
        <is>
          <t>Email threading and deduplication</t>
        </is>
      </c>
      <c r="D52" s="2" t="inlineStr">
        <is>
          <t>Critical</t>
        </is>
      </c>
      <c r="E52" s="2" t="inlineStr">
        <is>
          <t>QA email-created ticket</t>
        </is>
      </c>
      <c r="F52" s="2" t="inlineStr">
        <is>
          <t>1. Reply in original email thread from same test sender.
2. Check mail twice.
3. Resolve ticket, then send another reply.</t>
        </is>
      </c>
      <c r="G52" s="2" t="inlineStr">
        <is>
          <t>Reply appends once to the same ticket; repeat checks do not duplicate it. New reply reopens resolved ticket when properly threaded.</t>
        </is>
      </c>
      <c r="H52" s="3" t="inlineStr">
        <is>
          <t>Not started</t>
        </is>
      </c>
      <c r="I52" s="3" t="inlineStr"/>
      <c r="J52" s="3" t="inlineStr"/>
      <c r="K52" s="3" t="inlineStr"/>
      <c r="L52" s="6" t="inlineStr"/>
      <c r="M52" s="3" t="inlineStr"/>
    </row>
    <row r="53" ht="110" customHeight="1">
      <c r="A53" s="2" t="inlineStr">
        <is>
          <t>T052</t>
        </is>
      </c>
      <c r="B53" s="2" t="inlineStr">
        <is>
          <t>08 Tickets &amp; AI</t>
        </is>
      </c>
      <c r="C53" s="2" t="inlineStr">
        <is>
          <t>Unknown sender handling</t>
        </is>
      </c>
      <c r="D53" s="2" t="inlineStr">
        <is>
          <t>High</t>
        </is>
      </c>
      <c r="E53" s="2" t="inlineStr">
        <is>
          <t>Configured test mailbox; new unmatched test address</t>
        </is>
      </c>
      <c r="F53" s="2" t="inlineStr">
        <is>
          <t>1. Send new mail from an address not stored in contacts.
2. Open ticket and inspect customer assignment.</t>
        </is>
      </c>
      <c r="G53" s="2" t="inlineStr">
        <is>
          <t>Ticket remains unmatched/unassigned rather than guessed. Saved email match is not proof of sender identity.</t>
        </is>
      </c>
      <c r="H53" s="3" t="inlineStr">
        <is>
          <t>Not started</t>
        </is>
      </c>
      <c r="I53" s="3" t="inlineStr"/>
      <c r="J53" s="3" t="inlineStr"/>
      <c r="K53" s="3" t="inlineStr"/>
      <c r="L53" s="6" t="inlineStr"/>
      <c r="M53" s="3" t="inlineStr"/>
    </row>
    <row r="54" ht="110" customHeight="1">
      <c r="A54" s="2" t="inlineStr">
        <is>
          <t>T053</t>
        </is>
      </c>
      <c r="B54" s="2" t="inlineStr">
        <is>
          <t>08 Tickets &amp; AI</t>
        </is>
      </c>
      <c r="C54" s="2" t="inlineStr">
        <is>
          <t>Configure and test AI agent</t>
        </is>
      </c>
      <c r="D54" s="2" t="inlineStr">
        <is>
          <t>High</t>
        </is>
      </c>
      <c r="E54" s="2" t="inlineStr">
        <is>
          <t>Admin; supported provider API account/key; small API usage budget</t>
        </is>
      </c>
      <c r="F54" s="2" t="inlineStr">
        <is>
          <t>1. Add chosen AI provider, model and key.
2. Test Connection.
3. Select default agent.
4. Reopen Edit.</t>
        </is>
      </c>
      <c r="G54" s="2" t="inlineStr">
        <is>
          <t>Supported model authenticates and returns structured output. Key is masked. API billing is separate from ChatGPT subscription; do not record keys.</t>
        </is>
      </c>
      <c r="H54" s="3" t="inlineStr">
        <is>
          <t>Not started</t>
        </is>
      </c>
      <c r="I54" s="3" t="inlineStr"/>
      <c r="J54" s="3" t="inlineStr"/>
      <c r="K54" s="3" t="inlineStr"/>
      <c r="L54" s="6" t="inlineStr"/>
      <c r="M54" s="3" t="inlineStr"/>
    </row>
    <row r="55" ht="110" customHeight="1">
      <c r="A55" s="2" t="inlineStr">
        <is>
          <t>T054</t>
        </is>
      </c>
      <c r="B55" s="2" t="inlineStr">
        <is>
          <t>08 Tickets &amp; AI</t>
        </is>
      </c>
      <c r="C55" s="2" t="inlineStr">
        <is>
          <t>Manual AI ticket analysis</t>
        </is>
      </c>
      <c r="D55" s="2" t="inlineStr">
        <is>
          <t>High</t>
        </is>
      </c>
      <c r="E55" s="2" t="inlineStr">
        <is>
          <t>QA ticket; configured default AI; Tickets Manage</t>
        </is>
      </c>
      <c r="F55" s="2" t="inlineStr">
        <is>
          <t>1. Review ticket text for sensitive data.
2. Run AI Review on a harmless QA problem.
3. Read summary, causes, steps/questions.</t>
        </is>
      </c>
      <c r="G55" s="2" t="inlineStr">
        <is>
          <t>Structured suggestions appear with agent/model information. No commands run, no ticket is auto-resolved, and suggestions require technician review.</t>
        </is>
      </c>
      <c r="H55" s="3" t="inlineStr">
        <is>
          <t>Not started</t>
        </is>
      </c>
      <c r="I55" s="3" t="inlineStr"/>
      <c r="J55" s="3" t="inlineStr"/>
      <c r="K55" s="3" t="inlineStr"/>
      <c r="L55" s="6" t="inlineStr"/>
      <c r="M55" s="3" t="inlineStr"/>
    </row>
    <row r="56" ht="110" customHeight="1">
      <c r="A56" s="2" t="inlineStr">
        <is>
          <t>T055</t>
        </is>
      </c>
      <c r="B56" s="2" t="inlineStr">
        <is>
          <t>08 Tickets &amp; AI</t>
        </is>
      </c>
      <c r="C56" s="2" t="inlineStr">
        <is>
          <t>Automatic email AI and invalidation</t>
        </is>
      </c>
      <c r="D56" s="2" t="inlineStr">
        <is>
          <t>High</t>
        </is>
      </c>
      <c r="E56" s="2" t="inlineStr">
        <is>
          <t>Default AI has automatic email review enabled</t>
        </is>
      </c>
      <c r="F56" s="2" t="inlineStr">
        <is>
          <t>1. Send new harmless QA ticket email.
2. Wait for review job.
3. Edit ticket or add note after review.
4. Review again.</t>
        </is>
      </c>
      <c r="G56" s="2" t="inlineStr">
        <is>
          <t>Automatic review appears or a clear job error is shown. Changed ticket content invalidates old analysis; fresh review reflects latest information.</t>
        </is>
      </c>
      <c r="H56" s="3" t="inlineStr">
        <is>
          <t>Not started</t>
        </is>
      </c>
      <c r="I56" s="3" t="inlineStr"/>
      <c r="J56" s="3" t="inlineStr"/>
      <c r="K56" s="3" t="inlineStr"/>
      <c r="L56" s="6" t="inlineStr"/>
      <c r="M56" s="3" t="inlineStr"/>
    </row>
    <row r="57" ht="110" customHeight="1">
      <c r="A57" s="2" t="inlineStr">
        <is>
          <t>T056</t>
        </is>
      </c>
      <c r="B57" s="2" t="inlineStr">
        <is>
          <t>09 Monitoring</t>
        </is>
      </c>
      <c r="C57" s="2" t="inlineStr">
        <is>
          <t>Enable and save an offline rule</t>
        </is>
      </c>
      <c r="D57" s="2" t="inlineStr">
        <is>
          <t>Critical</t>
        </is>
      </c>
      <c r="E57" s="2" t="inlineStr">
        <is>
          <t>QA PC; Monitoring Manage; QA company; existing rules initially disabled</t>
        </is>
      </c>
      <c r="F57" s="2" t="inlineStr">
        <is>
          <t>1. Edit Computer offline rule.
2. Scope to QA company.
3. Set duration 1 minute; enable; optionally enable auto-ticket.
4. Save and refresh.</t>
        </is>
      </c>
      <c r="G57" s="2" t="inlineStr">
        <is>
          <t>Save works, settings persist, and unrelated companies are not included. Non-percentage rules are not blocked by hidden fields.</t>
        </is>
      </c>
      <c r="H57" s="3" t="inlineStr">
        <is>
          <t>Not started</t>
        </is>
      </c>
      <c r="I57" s="3" t="inlineStr"/>
      <c r="J57" s="3" t="inlineStr"/>
      <c r="K57" s="3" t="inlineStr"/>
      <c r="L57" s="6" t="inlineStr"/>
      <c r="M57" s="3" t="inlineStr"/>
    </row>
    <row r="58" ht="110" customHeight="1">
      <c r="A58" s="2" t="inlineStr">
        <is>
          <t>T057</t>
        </is>
      </c>
      <c r="B58" s="2" t="inlineStr">
        <is>
          <t>09 Monitoring</t>
        </is>
      </c>
      <c r="C58" s="2" t="inlineStr">
        <is>
          <t>Offline alert and automatic ticket</t>
        </is>
      </c>
      <c r="D58" s="2" t="inlineStr">
        <is>
          <t>Critical</t>
        </is>
      </c>
      <c r="E58" s="2" t="inlineStr">
        <is>
          <t>Enabled QA offline rule; QA PC initially online</t>
        </is>
      </c>
      <c r="F58" s="2" t="inlineStr">
        <is>
          <t>1. Disconnect only QA PC.
2. Wait for fresh inventory and sustained duration (allow several minutes).
3. Check Monitoring alerts and Tickets.
4. Run another check.</t>
        </is>
      </c>
      <c r="G58" s="2" t="inlineStr">
        <is>
          <t>One active alert and, if opted in, one automatic ticket appear. Repeat checks do not create duplicates for same incident.</t>
        </is>
      </c>
      <c r="H58" s="3" t="inlineStr">
        <is>
          <t>Not started</t>
        </is>
      </c>
      <c r="I58" s="3" t="inlineStr"/>
      <c r="J58" s="3" t="inlineStr"/>
      <c r="K58" s="3" t="inlineStr"/>
      <c r="L58" s="6" t="inlineStr"/>
      <c r="M58" s="3" t="inlineStr"/>
    </row>
    <row r="59" ht="110" customHeight="1">
      <c r="A59" s="2" t="inlineStr">
        <is>
          <t>T058</t>
        </is>
      </c>
      <c r="B59" s="2" t="inlineStr">
        <is>
          <t>09 Monitoring</t>
        </is>
      </c>
      <c r="C59" s="2" t="inlineStr">
        <is>
          <t>Recovery does not close technician ticket</t>
        </is>
      </c>
      <c r="D59" s="2" t="inlineStr">
        <is>
          <t>Critical</t>
        </is>
      </c>
      <c r="E59" s="2" t="inlineStr">
        <is>
          <t>Active QA offline alert with ticket</t>
        </is>
      </c>
      <c r="F59" s="2" t="inlineStr">
        <is>
          <t>1. Reconnect QA PC.
2. Wait for fresh inventory/check.
3. Inspect alert and ticket.</t>
        </is>
      </c>
      <c r="G59" s="2" t="inlineStr">
        <is>
          <t>Alert becomes Recovered from fresh evidence. Recovery note is added; ticket stays open until technician resolves it.</t>
        </is>
      </c>
      <c r="H59" s="3" t="inlineStr">
        <is>
          <t>Not started</t>
        </is>
      </c>
      <c r="I59" s="3" t="inlineStr"/>
      <c r="J59" s="3" t="inlineStr"/>
      <c r="K59" s="3" t="inlineStr"/>
      <c r="L59" s="6" t="inlineStr"/>
      <c r="M59" s="3" t="inlineStr"/>
    </row>
    <row r="60" ht="110" customHeight="1">
      <c r="A60" s="2" t="inlineStr">
        <is>
          <t>T059</t>
        </is>
      </c>
      <c r="B60" s="2" t="inlineStr">
        <is>
          <t>09 Monitoring</t>
        </is>
      </c>
      <c r="C60" s="2" t="inlineStr">
        <is>
          <t>Metric rule and pending evidence</t>
        </is>
      </c>
      <c r="D60" s="2" t="inlineStr">
        <is>
          <t>High</t>
        </is>
      </c>
      <c r="E60" s="2" t="inlineStr">
        <is>
          <t>QA Windows PC; choose safe measurable condition; no stress test on production</t>
        </is>
      </c>
      <c r="F60" s="2" t="inlineStr">
        <is>
          <t>1. Create QA CPU/memory/disk rule with suitable threshold/recovery and 1-minute duration.
2. Check fresh readings and pending evidence.
3. Observe alert only if condition stays breached.</t>
        </is>
      </c>
      <c r="G60" s="2" t="inlineStr">
        <is>
          <t>Rule uses measured fresh evidence and hysteresis. No alert appears merely from a single spike or repeatedly cached timestamp.</t>
        </is>
      </c>
      <c r="H60" s="3" t="inlineStr">
        <is>
          <t>Not started</t>
        </is>
      </c>
      <c r="I60" s="3" t="inlineStr"/>
      <c r="J60" s="3" t="inlineStr"/>
      <c r="K60" s="3" t="inlineStr"/>
      <c r="L60" s="6" t="inlineStr"/>
      <c r="M60" s="3" t="inlineStr"/>
    </row>
    <row r="61" ht="110" customHeight="1">
      <c r="A61" s="2" t="inlineStr">
        <is>
          <t>T060</t>
        </is>
      </c>
      <c r="B61" s="2" t="inlineStr">
        <is>
          <t>09 Monitoring</t>
        </is>
      </c>
      <c r="C61" s="2" t="inlineStr">
        <is>
          <t>Service monitoring is read-only</t>
        </is>
      </c>
      <c r="D61" s="2" t="inlineStr">
        <is>
          <t>High</t>
        </is>
      </c>
      <c r="E61" s="2" t="inlineStr">
        <is>
          <t>QA Windows PC; Spooler present; do not stop production services</t>
        </is>
      </c>
      <c r="F61" s="2" t="inlineStr">
        <is>
          <t>1. Add a QA service rule for Spooler.
2. Check known running state.
3. If safe in isolated QA VM, stop it locally, observe sustained alert, then restart locally.</t>
        </is>
      </c>
      <c r="G61" s="2" t="inlineStr">
        <is>
          <t>RMM reads service state; it does not change the service. Alert/recovery follow fresh evidence and duration.</t>
        </is>
      </c>
      <c r="H61" s="3" t="inlineStr">
        <is>
          <t>Not started</t>
        </is>
      </c>
      <c r="I61" s="3" t="inlineStr"/>
      <c r="J61" s="3" t="inlineStr"/>
      <c r="K61" s="3" t="inlineStr"/>
      <c r="L61" s="6" t="inlineStr"/>
      <c r="M61" s="3" t="inlineStr"/>
    </row>
    <row r="62" ht="110" customHeight="1">
      <c r="A62" s="2" t="inlineStr">
        <is>
          <t>T061</t>
        </is>
      </c>
      <c r="B62" s="2" t="inlineStr">
        <is>
          <t>09 Monitoring</t>
        </is>
      </c>
      <c r="C62" s="2" t="inlineStr">
        <is>
          <t>Unknown/busy data does not imply failure</t>
        </is>
      </c>
      <c r="D62" s="2" t="inlineStr">
        <is>
          <t>Critical</t>
        </is>
      </c>
      <c r="E62" s="2" t="inlineStr">
        <is>
          <t>QA metric/service rule; QA agent temporarily unavailable</t>
        </is>
      </c>
      <c r="F62" s="2" t="inlineStr">
        <is>
          <t>1. Temporarily disconnect QA agent or observe a reported busy/unknown read.
2. Inspect Pending / Unavailable Readings.
3. Restore connection.</t>
        </is>
      </c>
      <c r="G62" s="2" t="inlineStr">
        <is>
          <t>Unknown/stale readings do not create metric/service failure tickets or falsely recover an existing alert. Offline rule is evaluated separately.</t>
        </is>
      </c>
      <c r="H62" s="3" t="inlineStr">
        <is>
          <t>Not started</t>
        </is>
      </c>
      <c r="I62" s="3" t="inlineStr"/>
      <c r="J62" s="3" t="inlineStr"/>
      <c r="K62" s="3" t="inlineStr"/>
      <c r="L62" s="6" t="inlineStr"/>
      <c r="M62" s="3" t="inlineStr"/>
    </row>
    <row r="63" ht="110" customHeight="1">
      <c r="A63" s="2" t="inlineStr">
        <is>
          <t>T062</t>
        </is>
      </c>
      <c r="B63" s="2" t="inlineStr">
        <is>
          <t>09 Monitoring</t>
        </is>
      </c>
      <c r="C63" s="2" t="inlineStr">
        <is>
          <t>Acknowledge alert</t>
        </is>
      </c>
      <c r="D63" s="2" t="inlineStr">
        <is>
          <t>Normal</t>
        </is>
      </c>
      <c r="E63" s="2" t="inlineStr">
        <is>
          <t>Active QA alert</t>
        </is>
      </c>
      <c r="F63" s="2" t="inlineStr">
        <is>
          <t>1. Acknowledge alert.
2. Refresh and check linked ticket.</t>
        </is>
      </c>
      <c r="G63" s="2" t="inlineStr">
        <is>
          <t>Alert becomes Acknowledged, not Recovered. Ticket is not silently resolved.</t>
        </is>
      </c>
      <c r="H63" s="3" t="inlineStr">
        <is>
          <t>Not started</t>
        </is>
      </c>
      <c r="I63" s="3" t="inlineStr"/>
      <c r="J63" s="3" t="inlineStr"/>
      <c r="K63" s="3" t="inlineStr"/>
      <c r="L63" s="6" t="inlineStr"/>
      <c r="M63" s="3" t="inlineStr"/>
    </row>
    <row r="64" ht="110" customHeight="1">
      <c r="A64" s="2" t="inlineStr">
        <is>
          <t>T063</t>
        </is>
      </c>
      <c r="B64" s="2" t="inlineStr">
        <is>
          <t>09 Monitoring</t>
        </is>
      </c>
      <c r="C64" s="2" t="inlineStr">
        <is>
          <t>Backup-failure rule evidence</t>
        </is>
      </c>
      <c r="D64" s="2" t="inlineStr">
        <is>
          <t>High</t>
        </is>
      </c>
      <c r="E64" s="2" t="inlineStr">
        <is>
          <t>Supported Acronis integration; uniquely linked QA resource/task; controlled test failure if available</t>
        </is>
      </c>
      <c r="F64" s="2" t="inlineStr">
        <is>
          <t>1. Add QA Acronis unsuccessful-backup rule.
2. Compare evaluated task/resource with vendor console.
3. If no confirmed failure exists, record coverage as unknown/no failure rather than forcing a production failure.</t>
        </is>
      </c>
      <c r="G64" s="2" t="inlineStr">
        <is>
          <t>Only uniquely linked confirmed failed task evidence can trigger a backup alert. Missing/ambiguous tasks are unverified. Full failure-trigger test may be Blocked.</t>
        </is>
      </c>
      <c r="H64" s="3" t="inlineStr">
        <is>
          <t>Not started</t>
        </is>
      </c>
      <c r="I64" s="3" t="inlineStr"/>
      <c r="J64" s="3" t="inlineStr"/>
      <c r="K64" s="3" t="inlineStr"/>
      <c r="L64" s="6" t="inlineStr"/>
      <c r="M64" s="3" t="inlineStr"/>
    </row>
    <row r="65" ht="110" customHeight="1">
      <c r="A65" s="2" t="inlineStr">
        <is>
          <t>T064</t>
        </is>
      </c>
      <c r="B65" s="2" t="inlineStr">
        <is>
          <t>10 Reliability &amp; cleanup</t>
        </is>
      </c>
      <c r="C65" s="2" t="inlineStr">
        <is>
          <t>Restart and persistence</t>
        </is>
      </c>
      <c r="D65" s="2" t="inlineStr">
        <is>
          <t>Critical</t>
        </is>
      </c>
      <c r="E65" s="2" t="inlineStr">
        <is>
          <t>Admin; QA records created; safe maintenance window</t>
        </is>
      </c>
      <c r="F65" s="2" t="inlineStr">
        <is>
          <t>1. Record QA account permissions, device/group, ticket, provider choice and rule.
2. Restart only maldoori using documented PM2 command.
3. Sign in again and compare.</t>
        </is>
      </c>
      <c r="G65" s="2" t="inlineStr">
        <is>
          <t>Records/settings remain. In-memory sessions require sign-in again. New account password changes survive restart; environment bootstrap does not reset them.</t>
        </is>
      </c>
      <c r="H65" s="3" t="inlineStr">
        <is>
          <t>Not started</t>
        </is>
      </c>
      <c r="I65" s="3" t="inlineStr"/>
      <c r="J65" s="3" t="inlineStr"/>
      <c r="K65" s="3" t="inlineStr"/>
      <c r="L65" s="6" t="inlineStr"/>
      <c r="M65" s="3" t="inlineStr"/>
    </row>
    <row r="66" ht="110" customHeight="1">
      <c r="A66" s="2" t="inlineStr">
        <is>
          <t>T065</t>
        </is>
      </c>
      <c r="B66" s="2" t="inlineStr">
        <is>
          <t>10 Reliability &amp; cleanup</t>
        </is>
      </c>
      <c r="C66" s="2" t="inlineStr">
        <is>
          <t>Database recovery rehearsal</t>
        </is>
      </c>
      <c r="D66" s="2" t="inlineStr">
        <is>
          <t>Critical</t>
        </is>
      </c>
      <c r="E66" s="2" t="inlineStr">
        <is>
          <t>Database backup; separate disposable RMM instance; do not overwrite live DB</t>
        </is>
      </c>
      <c r="F66" s="2" t="inlineStr">
        <is>
          <t>1. Restore backup into a SEPARATE test instance using documented procedure.
2. Start it with appropriate test integrations disabled or isolated.
3. Verify representative records and admin sign-in.</t>
        </is>
      </c>
      <c r="G66" s="2" t="inlineStr">
        <is>
          <t>Recovery restores usable data/accounts. Production stays unchanged; no duplicate scheduled actions or email intake are allowed from rehearsal instance.</t>
        </is>
      </c>
      <c r="H66" s="3" t="inlineStr">
        <is>
          <t>Not started</t>
        </is>
      </c>
      <c r="I66" s="3" t="inlineStr"/>
      <c r="J66" s="3" t="inlineStr"/>
      <c r="K66" s="3" t="inlineStr"/>
      <c r="L66" s="6" t="inlineStr"/>
      <c r="M66" s="3" t="inlineStr"/>
    </row>
    <row r="67" ht="110" customHeight="1">
      <c r="A67" s="2" t="inlineStr">
        <is>
          <t>T066</t>
        </is>
      </c>
      <c r="B67" s="2" t="inlineStr">
        <is>
          <t>10 Reliability &amp; cleanup</t>
        </is>
      </c>
      <c r="C67" s="2" t="inlineStr">
        <is>
          <t>Resource usage during normal work</t>
        </is>
      </c>
      <c r="D67" s="2" t="inlineStr">
        <is>
          <t>High</t>
        </is>
      </c>
      <c r="E67" s="2" t="inlineStr">
        <is>
          <t>Droplet metrics; several QA PCs; typical technician actions</t>
        </is>
      </c>
      <c r="F67" s="2" t="inlineStr">
        <is>
          <t>1. Observe CPU/RAM/disk/network while refreshing inventory and using one scan/remote session.
2. Record device count, concurrent sessions, response times and errors.
3. Check for sustained memory/CPU pressure.</t>
        </is>
      </c>
      <c r="G67" s="2" t="inlineStr">
        <is>
          <t>Measured baseline is documented. Small QA success does not prove 100-device capacity; larger load test remains separate.</t>
        </is>
      </c>
      <c r="H67" s="3" t="inlineStr">
        <is>
          <t>Not started</t>
        </is>
      </c>
      <c r="I67" s="3" t="inlineStr"/>
      <c r="J67" s="3" t="inlineStr"/>
      <c r="K67" s="3" t="inlineStr"/>
      <c r="L67" s="6" t="inlineStr"/>
      <c r="M67" s="3" t="inlineStr"/>
    </row>
    <row r="68" ht="110" customHeight="1">
      <c r="A68" s="2" t="inlineStr">
        <is>
          <t>T067</t>
        </is>
      </c>
      <c r="B68" s="2" t="inlineStr">
        <is>
          <t>10 Reliability &amp; cleanup</t>
        </is>
      </c>
      <c r="C68" s="2" t="inlineStr">
        <is>
          <t>Clean up QA settings and review release</t>
        </is>
      </c>
      <c r="D68" s="2" t="inlineStr">
        <is>
          <t>Critical</t>
        </is>
      </c>
      <c r="E68" s="2" t="inlineStr">
        <is>
          <t>Admin; complete or recorded outcomes</t>
        </is>
      </c>
      <c r="F68" s="2" t="inlineStr">
        <is>
          <t>1. Disable temporary monitoring rules.
2. Deactivate test employees.
3. Cancel vendor test schedules if appropriate.
4. Keep useful test evidence/history.
5. Review all Critical failures and Blocked scenarios.</t>
        </is>
      </c>
      <c r="G68" s="2" t="inlineStr">
        <is>
          <t>No unintended QA jobs remain. Required critical tests pass; unresolved risks are documented before customer rollout. Do not delete production backups or records.</t>
        </is>
      </c>
      <c r="H68" s="3" t="inlineStr">
        <is>
          <t>Not started</t>
        </is>
      </c>
      <c r="I68" s="3" t="inlineStr"/>
      <c r="J68" s="3" t="inlineStr"/>
      <c r="K68" s="3" t="inlineStr"/>
      <c r="L68" s="6" t="inlineStr"/>
      <c r="M68" s="3" t="inlineStr"/>
    </row>
  </sheetData>
  <conditionalFormatting sqref="H2:H68">
    <cfRule type="expression" priority="1" dxfId="0">
      <formula>H2="Pass"</formula>
    </cfRule>
    <cfRule type="expression" priority="2" dxfId="1">
      <formula>H2="Fail"</formula>
    </cfRule>
    <cfRule type="expression" priority="3" dxfId="2">
      <formula>H2="Blocked"</formula>
    </cfRule>
    <cfRule type="expression" priority="4" dxfId="3">
      <formula>H2="In progress"</formula>
    </cfRule>
    <cfRule type="expression" priority="5" dxfId="4">
      <formula>H2="Not applicable"</formula>
    </cfRule>
  </conditionalFormatting>
  <dataValidations count="1">
    <dataValidation sqref="H2:H68" showDropDown="0" showInputMessage="0" showErrorMessage="1" allowBlank="0" errorTitle="Choose a status" error="Use a value from the dropdown." type="list">
      <formula1>"Not started,In progress,Pass,Fail,Blocked,Not applicable"</formula1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&amp;CSkyBase IT Solutions — Internal QA&amp;RPage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J3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60" customWidth="1" min="4" max="4"/>
    <col width="50" customWidth="1" min="5" max="5"/>
    <col width="35" customWidth="1" min="6" max="6"/>
    <col width="20" customWidth="1" min="7" max="7"/>
    <col width="22" customWidth="1" min="8" max="8"/>
    <col width="65" customWidth="1" min="9" max="9"/>
    <col width="28" customWidth="1" min="10" max="10"/>
  </cols>
  <sheetData>
    <row r="1" ht="32" customHeight="1">
      <c r="A1" s="1" t="inlineStr">
        <is>
          <t>Issue ID</t>
        </is>
      </c>
      <c r="B1" s="1" t="inlineStr">
        <is>
          <t>Test ID</t>
        </is>
      </c>
      <c r="C1" s="1" t="inlineStr">
        <is>
          <t>Priority</t>
        </is>
      </c>
      <c r="D1" s="1" t="inlineStr">
        <is>
          <t>Problem / actual behavior</t>
        </is>
      </c>
      <c r="E1" s="1" t="inlineStr">
        <is>
          <t>Expected behavior</t>
        </is>
      </c>
      <c r="F1" s="1" t="inlineStr">
        <is>
          <t>Evidence link / filename</t>
        </is>
      </c>
      <c r="G1" s="1" t="inlineStr">
        <is>
          <t>Owner</t>
        </is>
      </c>
      <c r="H1" s="1" t="inlineStr">
        <is>
          <t>Issue status</t>
        </is>
      </c>
      <c r="I1" s="1" t="inlineStr">
        <is>
          <t>Fix / workaround / retest notes</t>
        </is>
      </c>
      <c r="J1" s="1" t="inlineStr">
        <is>
          <t>Reported date (Chicago)</t>
        </is>
      </c>
    </row>
    <row r="2" ht="70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 ht="70" customHeight="1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 ht="70" customHeight="1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 ht="70" customHeight="1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  <row r="6" ht="70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 ht="70" customHeight="1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 ht="70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 ht="70" customHeight="1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 ht="70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 ht="70" customHeight="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 ht="70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 ht="70" customHeight="1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 ht="70" customHeight="1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  <row r="15" ht="70" customHeight="1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</row>
    <row r="16" ht="70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</row>
    <row r="17" ht="70" customHeight="1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</row>
    <row r="18" ht="70" customHeight="1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</row>
    <row r="19" ht="70" customHeight="1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</row>
    <row r="20" ht="70" customHeight="1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</row>
    <row r="21" ht="70" customHeight="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</row>
    <row r="22" ht="70" customHeight="1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</row>
    <row r="23" ht="70" customHeight="1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</row>
    <row r="24" ht="70" customHeight="1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</row>
    <row r="25" ht="70" customHeight="1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</row>
    <row r="26" ht="70" customHeight="1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</row>
    <row r="27" ht="70" customHeight="1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</row>
    <row r="28" ht="70" customHeight="1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</row>
    <row r="29" ht="70" customHeight="1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</row>
    <row r="30" ht="70" customHeight="1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</row>
    <row r="31" ht="70" customHeight="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</row>
  </sheetData>
  <dataValidations count="1">
    <dataValidation sqref="H2:H1000" showDropDown="0" showInputMessage="0" showErrorMessage="0" allowBlank="0" type="list">
      <formula1>"Open,Investigating,Ready to retest,Closed,Deferred"</formula1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&amp;CSkyBase IT Solutions — Internal QA&amp;RPage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0"/>
    <pageSetUpPr fitToPage="1"/>
  </sheetPr>
  <dimension ref="A1:D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70" customWidth="1" min="2" max="2"/>
    <col width="75" customWidth="1" min="3" max="3"/>
    <col width="35" customWidth="1" min="4" max="4"/>
  </cols>
  <sheetData>
    <row r="1" ht="32" customHeight="1">
      <c r="A1" s="1" t="inlineStr">
        <is>
          <t>Capability</t>
        </is>
      </c>
      <c r="B1" s="1" t="inlineStr">
        <is>
          <t>Current behavior to test</t>
        </is>
      </c>
      <c r="C1" s="1" t="inlineStr">
        <is>
          <t>Future capability — do not mark as working</t>
        </is>
      </c>
      <c r="D1" s="1" t="inlineStr">
        <is>
          <t>Status</t>
        </is>
      </c>
    </row>
    <row r="2" ht="65" customHeight="1">
      <c r="A2" s="2" t="inlineStr">
        <is>
          <t>Patching</t>
        </is>
      </c>
      <c r="B2" s="2" t="inlineStr">
        <is>
          <t>Manual catalog, planned rollout and Windows advance notice</t>
        </is>
      </c>
      <c r="C2" s="2" t="inlineStr">
        <is>
          <t>Automatic update discovery, installation and installed-state verification</t>
        </is>
      </c>
      <c r="D2" s="2" t="inlineStr">
        <is>
          <t>Not implemented / not validated</t>
        </is>
      </c>
    </row>
    <row r="3" ht="65" customHeight="1">
      <c r="A3" s="2" t="inlineStr">
        <is>
          <t>Comet / MSP360</t>
        </is>
      </c>
      <c r="B3" s="2" t="inlineStr">
        <is>
          <t>Company provider choice and vendor console link; validate backups in vendor portal</t>
        </is>
      </c>
      <c r="C3" s="2" t="inlineStr">
        <is>
          <t>Native RMM vendor API inventory and backup/restore actions</t>
        </is>
      </c>
      <c r="D3" s="2" t="inlineStr">
        <is>
          <t>Not implemented / not validated</t>
        </is>
      </c>
    </row>
    <row r="4" ht="65" customHeight="1">
      <c r="A4" s="2" t="inlineStr">
        <is>
          <t>Antivirus</t>
        </is>
      </c>
      <c r="B4" s="2" t="inlineStr">
        <is>
          <t>Provider choices/console links; verify protection in vendor portal</t>
        </is>
      </c>
      <c r="C4" s="2" t="inlineStr">
        <is>
          <t>Native status aggregation, deployment, scanning and policy controls</t>
        </is>
      </c>
      <c r="D4" s="2" t="inlineStr">
        <is>
          <t>Not implemented / not validated</t>
        </is>
      </c>
    </row>
    <row r="5" ht="65" customHeight="1">
      <c r="A5" s="2" t="inlineStr">
        <is>
          <t>Active Directory</t>
        </is>
      </c>
      <c r="B5" s="2" t="inlineStr">
        <is>
          <t>Read-only users/groups/OUs sync with suitable agent/RSAT</t>
        </is>
      </c>
      <c r="C5" s="2" t="inlineStr">
        <is>
          <t>Create/edit/delete accounts, password changes and memberships</t>
        </is>
      </c>
      <c r="D5" s="2" t="inlineStr">
        <is>
          <t>Not implemented / not validated</t>
        </is>
      </c>
    </row>
    <row r="6" ht="65" customHeight="1">
      <c r="A6" s="2" t="inlineStr">
        <is>
          <t>Script Marketplace</t>
        </is>
      </c>
      <c r="B6" s="2" t="inlineStr">
        <is>
          <t>Browse, inspect, copy/download and authorized local test</t>
        </is>
      </c>
      <c r="C6" s="2" t="inlineStr">
        <is>
          <t>Remote execution, scheduling and durable execution results</t>
        </is>
      </c>
      <c r="D6" s="2" t="inlineStr">
        <is>
          <t>Not implemented / not validated</t>
        </is>
      </c>
    </row>
    <row r="7" ht="65" customHeight="1">
      <c r="A7" s="2" t="inlineStr">
        <is>
          <t>Ticket email</t>
        </is>
      </c>
      <c r="B7" s="2" t="inlineStr">
        <is>
          <t>New inbound mail, supported threading/dedup; internal notes stay internal</t>
        </is>
      </c>
      <c r="C7" s="2" t="inlineStr">
        <is>
          <t>Outbound acknowledgments/replies and attachment handling</t>
        </is>
      </c>
      <c r="D7" s="2" t="inlineStr">
        <is>
          <t>Not implemented / not validated</t>
        </is>
      </c>
    </row>
    <row r="8" ht="65" customHeight="1">
      <c r="A8" s="2" t="inlineStr">
        <is>
          <t>User Management</t>
        </is>
      </c>
      <c r="B8" s="2" t="inlineStr">
        <is>
          <t>Feature permissions across all companies; admin password reset</t>
        </is>
      </c>
      <c r="C8" s="2" t="inlineStr">
        <is>
          <t>Per-company employee scoping, MFA, email invitations and self-service email password recovery</t>
        </is>
      </c>
      <c r="D8" s="2" t="inlineStr">
        <is>
          <t>Not implemented / not validated</t>
        </is>
      </c>
    </row>
    <row r="9" ht="65" customHeight="1">
      <c r="A9" s="2" t="inlineStr">
        <is>
          <t>Remote access</t>
        </is>
      </c>
      <c r="B9" s="2" t="inlineStr">
        <is>
          <t>RMM permission controls offered link; MeshCentral has independent access</t>
        </is>
      </c>
      <c r="C9" s="2" t="inlineStr">
        <is>
          <t>Automatic provisioning of separate MeshCentral technician accounts/rights</t>
        </is>
      </c>
      <c r="D9" s="2" t="inlineStr">
        <is>
          <t>Not implemented / not validated</t>
        </is>
      </c>
    </row>
    <row r="10" ht="65" customHeight="1">
      <c r="A10" s="2" t="inlineStr">
        <is>
          <t>AI</t>
        </is>
      </c>
      <c r="B10" s="2" t="inlineStr">
        <is>
          <t>Ticket suggestions through supported configured API provider</t>
        </is>
      </c>
      <c r="C10" s="2" t="inlineStr">
        <is>
          <t>Automatic fixes or execution of proposed commands</t>
        </is>
      </c>
      <c r="D10" s="2" t="inlineStr">
        <is>
          <t>Not implemented / not validated</t>
        </is>
      </c>
    </row>
    <row r="11" ht="65" customHeight="1">
      <c r="A11" s="2" t="inlineStr">
        <is>
          <t>Capacity</t>
        </is>
      </c>
      <c r="B11" s="2" t="inlineStr">
        <is>
          <t>Baseline measurements on current Droplet/test devices</t>
        </is>
      </c>
      <c r="C11" s="2" t="inlineStr">
        <is>
          <t>Validated 100-device and concurrent-operator load test</t>
        </is>
      </c>
      <c r="D11" s="2" t="inlineStr">
        <is>
          <t>Not implemented / not validated</t>
        </is>
      </c>
    </row>
  </sheetData>
  <printOptions horizontalCentered="1"/>
  <pageMargins left="0.75" right="0.75" top="1" bottom="1" header="0.5" footer="0.5"/>
  <pageSetup orientation="landscape" paperSize="8" fitToHeight="0" fitToWidth="1"/>
  <headerFooter>
    <oddHeader/>
    <oddFooter>&amp;CSkyBase IT Solutions — Internal QA&amp;RPage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2026-10-12T00:35:13Z</dcterms:created>
  <dcterms:modified xmlns:dcterms="http://purl.org/dc/terms/" xmlns:xsi="http://www.w3.org/2001/XMLSchema-instance" xsi:type="dcterms:W3CDTF">2026-10-12T00:35:13Z</dcterms:modified>
</cp:coreProperties>
</file>